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5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5A1FF9C1-55A9-49A5-AFCD-3CE8F50DCCAB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Employee Database" sheetId="1" r:id="rId1"/>
    <sheet name="Sheet1" sheetId="6" r:id="rId2"/>
    <sheet name="Sheet2" sheetId="7" r:id="rId3"/>
    <sheet name="Formula Dashboard" sheetId="2" r:id="rId4"/>
    <sheet name="VLOOKUP Tool" sheetId="3" r:id="rId5"/>
    <sheet name="TEXT Formulas" sheetId="4" r:id="rId6"/>
    <sheet name="Summary Stats" sheetId="5" r:id="rId7"/>
  </sheets>
  <calcPr calcId="191029"/>
</workbook>
</file>

<file path=xl/calcChain.xml><?xml version="1.0" encoding="utf-8"?>
<calcChain xmlns="http://schemas.openxmlformats.org/spreadsheetml/2006/main">
  <c r="D29" i="7" l="1"/>
  <c r="D28" i="7"/>
  <c r="D27" i="7"/>
  <c r="AE22" i="7"/>
  <c r="AD22" i="7"/>
  <c r="AC22" i="7"/>
  <c r="AB22" i="7"/>
  <c r="AA22" i="7"/>
  <c r="Z22" i="7"/>
  <c r="Y22" i="7"/>
  <c r="X22" i="7"/>
  <c r="W22" i="7"/>
  <c r="V22" i="7"/>
  <c r="U22" i="7"/>
  <c r="T22" i="7"/>
  <c r="S22" i="7"/>
  <c r="R22" i="7"/>
  <c r="Q22" i="7"/>
  <c r="P22" i="7"/>
  <c r="O22" i="7"/>
  <c r="N22" i="7"/>
  <c r="M22" i="7"/>
  <c r="L22" i="7"/>
  <c r="K22" i="7"/>
  <c r="J22" i="7"/>
  <c r="I22" i="7"/>
  <c r="H22" i="7"/>
  <c r="G22" i="7"/>
  <c r="F22" i="7"/>
  <c r="E22" i="7"/>
  <c r="D22" i="7"/>
  <c r="C22" i="7"/>
  <c r="B22" i="7"/>
  <c r="AE21" i="7"/>
  <c r="AD21" i="7"/>
  <c r="AC21" i="7"/>
  <c r="AB21" i="7"/>
  <c r="AA21" i="7"/>
  <c r="Z21" i="7"/>
  <c r="Y21" i="7"/>
  <c r="X21" i="7"/>
  <c r="W21" i="7"/>
  <c r="V21" i="7"/>
  <c r="U21" i="7"/>
  <c r="T21" i="7"/>
  <c r="S21" i="7"/>
  <c r="R21" i="7"/>
  <c r="Q21" i="7"/>
  <c r="P21" i="7"/>
  <c r="O21" i="7"/>
  <c r="N21" i="7"/>
  <c r="M21" i="7"/>
  <c r="L21" i="7"/>
  <c r="K21" i="7"/>
  <c r="J21" i="7"/>
  <c r="I21" i="7"/>
  <c r="H21" i="7"/>
  <c r="G21" i="7"/>
  <c r="F21" i="7"/>
  <c r="E21" i="7"/>
  <c r="D21" i="7"/>
  <c r="C21" i="7"/>
  <c r="B21" i="7"/>
  <c r="AE19" i="7"/>
  <c r="AD19" i="7"/>
  <c r="AC19" i="7"/>
  <c r="AB19" i="7"/>
  <c r="AA19" i="7"/>
  <c r="Z19" i="7"/>
  <c r="Y19" i="7"/>
  <c r="X19" i="7"/>
  <c r="W19" i="7"/>
  <c r="V19" i="7"/>
  <c r="U19" i="7"/>
  <c r="T19" i="7"/>
  <c r="S19" i="7"/>
  <c r="R19" i="7"/>
  <c r="Q19" i="7"/>
  <c r="P19" i="7"/>
  <c r="O19" i="7"/>
  <c r="N19" i="7"/>
  <c r="M19" i="7"/>
  <c r="L19" i="7"/>
  <c r="K19" i="7"/>
  <c r="J19" i="7"/>
  <c r="I19" i="7"/>
  <c r="H19" i="7"/>
  <c r="G19" i="7"/>
  <c r="F19" i="7"/>
  <c r="E19" i="7"/>
  <c r="D19" i="7"/>
  <c r="C19" i="7"/>
  <c r="B19" i="7"/>
  <c r="AB18" i="7"/>
  <c r="AA18" i="7"/>
  <c r="Z18" i="7"/>
  <c r="L18" i="7"/>
  <c r="K18" i="7"/>
  <c r="J18" i="7"/>
  <c r="AB15" i="7"/>
  <c r="AA15" i="7"/>
  <c r="Z15" i="7"/>
  <c r="Y15" i="7"/>
  <c r="X15" i="7"/>
  <c r="L15" i="7"/>
  <c r="K15" i="7"/>
  <c r="J15" i="7"/>
  <c r="I15" i="7"/>
  <c r="H15" i="7"/>
  <c r="AB14" i="7"/>
  <c r="AA14" i="7"/>
  <c r="Z14" i="7"/>
  <c r="Y14" i="7"/>
  <c r="X14" i="7"/>
  <c r="W14" i="7"/>
  <c r="V14" i="7"/>
  <c r="L14" i="7"/>
  <c r="K14" i="7"/>
  <c r="J14" i="7"/>
  <c r="I14" i="7"/>
  <c r="H14" i="7"/>
  <c r="G14" i="7"/>
  <c r="F14" i="7"/>
  <c r="AB13" i="7"/>
  <c r="AA13" i="7"/>
  <c r="Z13" i="7"/>
  <c r="Y13" i="7"/>
  <c r="Y18" i="7" s="1"/>
  <c r="X13" i="7"/>
  <c r="X18" i="7" s="1"/>
  <c r="W13" i="7"/>
  <c r="W15" i="7" s="1"/>
  <c r="V13" i="7"/>
  <c r="V15" i="7" s="1"/>
  <c r="U13" i="7"/>
  <c r="U14" i="7" s="1"/>
  <c r="T13" i="7"/>
  <c r="T14" i="7" s="1"/>
  <c r="L13" i="7"/>
  <c r="K13" i="7"/>
  <c r="J13" i="7"/>
  <c r="I13" i="7"/>
  <c r="I18" i="7" s="1"/>
  <c r="H13" i="7"/>
  <c r="H18" i="7" s="1"/>
  <c r="G13" i="7"/>
  <c r="G15" i="7" s="1"/>
  <c r="F13" i="7"/>
  <c r="F15" i="7" s="1"/>
  <c r="E13" i="7"/>
  <c r="E14" i="7" s="1"/>
  <c r="D13" i="7"/>
  <c r="D14" i="7" s="1"/>
  <c r="AE12" i="7"/>
  <c r="AE13" i="7" s="1"/>
  <c r="AD12" i="7"/>
  <c r="AD13" i="7" s="1"/>
  <c r="AC12" i="7"/>
  <c r="AC13" i="7" s="1"/>
  <c r="AB12" i="7"/>
  <c r="AA12" i="7"/>
  <c r="Z12" i="7"/>
  <c r="Y12" i="7"/>
  <c r="X12" i="7"/>
  <c r="W12" i="7"/>
  <c r="V12" i="7"/>
  <c r="U12" i="7"/>
  <c r="T12" i="7"/>
  <c r="S12" i="7"/>
  <c r="S13" i="7" s="1"/>
  <c r="R12" i="7"/>
  <c r="R13" i="7" s="1"/>
  <c r="Q12" i="7"/>
  <c r="Q13" i="7" s="1"/>
  <c r="P12" i="7"/>
  <c r="P13" i="7" s="1"/>
  <c r="O12" i="7"/>
  <c r="O13" i="7" s="1"/>
  <c r="N12" i="7"/>
  <c r="N13" i="7" s="1"/>
  <c r="M12" i="7"/>
  <c r="M13" i="7" s="1"/>
  <c r="L12" i="7"/>
  <c r="K12" i="7"/>
  <c r="J12" i="7"/>
  <c r="I12" i="7"/>
  <c r="H12" i="7"/>
  <c r="G12" i="7"/>
  <c r="F12" i="7"/>
  <c r="E12" i="7"/>
  <c r="D12" i="7"/>
  <c r="C12" i="7"/>
  <c r="C13" i="7" s="1"/>
  <c r="B12" i="7"/>
  <c r="B13" i="7" s="1"/>
  <c r="AE8" i="7"/>
  <c r="AD8" i="7"/>
  <c r="AC8" i="7"/>
  <c r="AB8" i="7"/>
  <c r="AA8" i="7"/>
  <c r="Z8" i="7"/>
  <c r="Y8" i="7"/>
  <c r="X8" i="7"/>
  <c r="W8" i="7"/>
  <c r="V8" i="7"/>
  <c r="U8" i="7"/>
  <c r="T8" i="7"/>
  <c r="S8" i="7"/>
  <c r="R8" i="7"/>
  <c r="Q8" i="7"/>
  <c r="P8" i="7"/>
  <c r="O8" i="7"/>
  <c r="N8" i="7"/>
  <c r="M8" i="7"/>
  <c r="L8" i="7"/>
  <c r="K8" i="7"/>
  <c r="J8" i="7"/>
  <c r="I8" i="7"/>
  <c r="H8" i="7"/>
  <c r="G8" i="7"/>
  <c r="F8" i="7"/>
  <c r="E8" i="7"/>
  <c r="D8" i="7"/>
  <c r="C8" i="7"/>
  <c r="B8" i="7"/>
  <c r="Y9" i="6"/>
  <c r="Y8" i="6"/>
  <c r="Y7" i="6"/>
  <c r="Y6" i="6"/>
  <c r="V31" i="6"/>
  <c r="U31" i="6"/>
  <c r="S31" i="6"/>
  <c r="L31" i="6"/>
  <c r="M31" i="6" s="1"/>
  <c r="H31" i="6"/>
  <c r="V30" i="6"/>
  <c r="U30" i="6"/>
  <c r="S30" i="6"/>
  <c r="L30" i="6"/>
  <c r="M30" i="6" s="1"/>
  <c r="H30" i="6"/>
  <c r="V29" i="6"/>
  <c r="U29" i="6"/>
  <c r="S29" i="6"/>
  <c r="L29" i="6"/>
  <c r="M29" i="6" s="1"/>
  <c r="H29" i="6"/>
  <c r="V28" i="6"/>
  <c r="U28" i="6"/>
  <c r="S28" i="6"/>
  <c r="L28" i="6"/>
  <c r="M28" i="6" s="1"/>
  <c r="H28" i="6"/>
  <c r="V27" i="6"/>
  <c r="U27" i="6"/>
  <c r="S27" i="6"/>
  <c r="L27" i="6"/>
  <c r="M27" i="6" s="1"/>
  <c r="H27" i="6"/>
  <c r="V26" i="6"/>
  <c r="U26" i="6"/>
  <c r="S26" i="6"/>
  <c r="L26" i="6"/>
  <c r="M26" i="6" s="1"/>
  <c r="H26" i="6"/>
  <c r="V25" i="6"/>
  <c r="U25" i="6"/>
  <c r="S25" i="6"/>
  <c r="L25" i="6"/>
  <c r="M25" i="6" s="1"/>
  <c r="H25" i="6"/>
  <c r="V24" i="6"/>
  <c r="U24" i="6"/>
  <c r="S24" i="6"/>
  <c r="L24" i="6"/>
  <c r="M24" i="6" s="1"/>
  <c r="H24" i="6"/>
  <c r="V23" i="6"/>
  <c r="U23" i="6"/>
  <c r="S23" i="6"/>
  <c r="L23" i="6"/>
  <c r="M23" i="6" s="1"/>
  <c r="H23" i="6"/>
  <c r="V22" i="6"/>
  <c r="U22" i="6"/>
  <c r="S22" i="6"/>
  <c r="L22" i="6"/>
  <c r="M22" i="6" s="1"/>
  <c r="H22" i="6"/>
  <c r="V21" i="6"/>
  <c r="U21" i="6"/>
  <c r="S21" i="6"/>
  <c r="L21" i="6"/>
  <c r="M21" i="6" s="1"/>
  <c r="H21" i="6"/>
  <c r="V20" i="6"/>
  <c r="U20" i="6"/>
  <c r="S20" i="6"/>
  <c r="L20" i="6"/>
  <c r="M20" i="6" s="1"/>
  <c r="H20" i="6"/>
  <c r="V19" i="6"/>
  <c r="U19" i="6"/>
  <c r="S19" i="6"/>
  <c r="L19" i="6"/>
  <c r="M19" i="6" s="1"/>
  <c r="H19" i="6"/>
  <c r="V18" i="6"/>
  <c r="U18" i="6"/>
  <c r="S18" i="6"/>
  <c r="L18" i="6"/>
  <c r="M18" i="6" s="1"/>
  <c r="H18" i="6"/>
  <c r="V17" i="6"/>
  <c r="U17" i="6"/>
  <c r="S17" i="6"/>
  <c r="L17" i="6"/>
  <c r="M17" i="6" s="1"/>
  <c r="H17" i="6"/>
  <c r="V16" i="6"/>
  <c r="U16" i="6"/>
  <c r="S16" i="6"/>
  <c r="L16" i="6"/>
  <c r="M16" i="6" s="1"/>
  <c r="H16" i="6"/>
  <c r="V15" i="6"/>
  <c r="U15" i="6"/>
  <c r="S15" i="6"/>
  <c r="L15" i="6"/>
  <c r="M15" i="6" s="1"/>
  <c r="H15" i="6"/>
  <c r="V14" i="6"/>
  <c r="U14" i="6"/>
  <c r="S14" i="6"/>
  <c r="L14" i="6"/>
  <c r="M14" i="6" s="1"/>
  <c r="H14" i="6"/>
  <c r="V13" i="6"/>
  <c r="U13" i="6"/>
  <c r="S13" i="6"/>
  <c r="L13" i="6"/>
  <c r="M13" i="6" s="1"/>
  <c r="H13" i="6"/>
  <c r="V12" i="6"/>
  <c r="U12" i="6"/>
  <c r="S12" i="6"/>
  <c r="L12" i="6"/>
  <c r="M12" i="6" s="1"/>
  <c r="H12" i="6"/>
  <c r="V11" i="6"/>
  <c r="U11" i="6"/>
  <c r="S11" i="6"/>
  <c r="L11" i="6"/>
  <c r="M11" i="6" s="1"/>
  <c r="H11" i="6"/>
  <c r="V10" i="6"/>
  <c r="U10" i="6"/>
  <c r="S10" i="6"/>
  <c r="L10" i="6"/>
  <c r="M10" i="6" s="1"/>
  <c r="H10" i="6"/>
  <c r="V9" i="6"/>
  <c r="U9" i="6"/>
  <c r="S9" i="6"/>
  <c r="L9" i="6"/>
  <c r="M9" i="6" s="1"/>
  <c r="H9" i="6"/>
  <c r="V8" i="6"/>
  <c r="U8" i="6"/>
  <c r="S8" i="6"/>
  <c r="L8" i="6"/>
  <c r="M8" i="6" s="1"/>
  <c r="H8" i="6"/>
  <c r="V7" i="6"/>
  <c r="U7" i="6"/>
  <c r="S7" i="6"/>
  <c r="L7" i="6"/>
  <c r="M7" i="6" s="1"/>
  <c r="H7" i="6"/>
  <c r="V6" i="6"/>
  <c r="U6" i="6"/>
  <c r="S6" i="6"/>
  <c r="L6" i="6"/>
  <c r="M6" i="6" s="1"/>
  <c r="H6" i="6"/>
  <c r="V5" i="6"/>
  <c r="U5" i="6"/>
  <c r="S5" i="6"/>
  <c r="L5" i="6"/>
  <c r="M5" i="6" s="1"/>
  <c r="H5" i="6"/>
  <c r="V4" i="6"/>
  <c r="U4" i="6"/>
  <c r="S4" i="6"/>
  <c r="L4" i="6"/>
  <c r="M4" i="6" s="1"/>
  <c r="H4" i="6"/>
  <c r="V3" i="6"/>
  <c r="U3" i="6"/>
  <c r="S3" i="6"/>
  <c r="L3" i="6"/>
  <c r="M3" i="6" s="1"/>
  <c r="H3" i="6"/>
  <c r="V2" i="6"/>
  <c r="U2" i="6"/>
  <c r="S2" i="6"/>
  <c r="L2" i="6"/>
  <c r="M2" i="6" s="1"/>
  <c r="H2" i="6"/>
  <c r="M18" i="7" l="1"/>
  <c r="M14" i="7"/>
  <c r="M15" i="7" s="1"/>
  <c r="N18" i="7"/>
  <c r="N14" i="7"/>
  <c r="N15" i="7" s="1"/>
  <c r="S14" i="7"/>
  <c r="S15" i="7"/>
  <c r="S18" i="7"/>
  <c r="O18" i="7"/>
  <c r="O14" i="7"/>
  <c r="O15" i="7" s="1"/>
  <c r="R18" i="7"/>
  <c r="R14" i="7"/>
  <c r="R15" i="7"/>
  <c r="AC18" i="7"/>
  <c r="AC14" i="7"/>
  <c r="AC15" i="7"/>
  <c r="AD14" i="7"/>
  <c r="AD15" i="7" s="1"/>
  <c r="AD18" i="7"/>
  <c r="C14" i="7"/>
  <c r="C15" i="7" s="1"/>
  <c r="C18" i="7"/>
  <c r="AE14" i="7"/>
  <c r="AE15" i="7"/>
  <c r="AE18" i="7"/>
  <c r="P18" i="7"/>
  <c r="P14" i="7"/>
  <c r="P15" i="7"/>
  <c r="Q14" i="7"/>
  <c r="Q15" i="7"/>
  <c r="Q18" i="7"/>
  <c r="B14" i="7"/>
  <c r="B15" i="7"/>
  <c r="B18" i="7"/>
  <c r="D18" i="7"/>
  <c r="T18" i="7"/>
  <c r="E18" i="7"/>
  <c r="U18" i="7"/>
  <c r="D15" i="7"/>
  <c r="T15" i="7"/>
  <c r="F18" i="7"/>
  <c r="V18" i="7"/>
  <c r="E15" i="7"/>
  <c r="U15" i="7"/>
  <c r="G18" i="7"/>
  <c r="W18" i="7"/>
  <c r="R5" i="6"/>
  <c r="N5" i="6"/>
  <c r="O5" i="6" s="1"/>
  <c r="R21" i="6"/>
  <c r="N21" i="6"/>
  <c r="O21" i="6" s="1"/>
  <c r="R16" i="6"/>
  <c r="N16" i="6"/>
  <c r="O16" i="6" s="1"/>
  <c r="R3" i="6"/>
  <c r="N3" i="6"/>
  <c r="O3" i="6" s="1"/>
  <c r="R27" i="6"/>
  <c r="N27" i="6"/>
  <c r="O27" i="6"/>
  <c r="R6" i="6"/>
  <c r="N6" i="6"/>
  <c r="O6" i="6"/>
  <c r="R30" i="6"/>
  <c r="N30" i="6"/>
  <c r="O30" i="6" s="1"/>
  <c r="N17" i="6"/>
  <c r="O17" i="6" s="1"/>
  <c r="R17" i="6"/>
  <c r="R15" i="6"/>
  <c r="N15" i="6"/>
  <c r="O15" i="6" s="1"/>
  <c r="R13" i="6"/>
  <c r="N13" i="6"/>
  <c r="O13" i="6" s="1"/>
  <c r="R29" i="6"/>
  <c r="N29" i="6"/>
  <c r="O29" i="6" s="1"/>
  <c r="N8" i="6"/>
  <c r="O8" i="6" s="1"/>
  <c r="R8" i="6"/>
  <c r="N24" i="6"/>
  <c r="O24" i="6" s="1"/>
  <c r="R24" i="6"/>
  <c r="N11" i="6"/>
  <c r="O11" i="6" s="1"/>
  <c r="R11" i="6"/>
  <c r="N19" i="6"/>
  <c r="O19" i="6" s="1"/>
  <c r="R19" i="6"/>
  <c r="R14" i="6"/>
  <c r="N14" i="6"/>
  <c r="O14" i="6" s="1"/>
  <c r="R22" i="6"/>
  <c r="N22" i="6"/>
  <c r="O22" i="6"/>
  <c r="N9" i="6"/>
  <c r="O9" i="6" s="1"/>
  <c r="R9" i="6"/>
  <c r="N25" i="6"/>
  <c r="O25" i="6" s="1"/>
  <c r="R25" i="6"/>
  <c r="R4" i="6"/>
  <c r="N4" i="6"/>
  <c r="O4" i="6" s="1"/>
  <c r="R12" i="6"/>
  <c r="N12" i="6"/>
  <c r="O12" i="6"/>
  <c r="N20" i="6"/>
  <c r="O20" i="6" s="1"/>
  <c r="R20" i="6"/>
  <c r="R28" i="6"/>
  <c r="N28" i="6"/>
  <c r="O28" i="6" s="1"/>
  <c r="R7" i="6"/>
  <c r="N7" i="6"/>
  <c r="O7" i="6"/>
  <c r="R23" i="6"/>
  <c r="N23" i="6"/>
  <c r="O23" i="6"/>
  <c r="R31" i="6"/>
  <c r="N31" i="6"/>
  <c r="O31" i="6" s="1"/>
  <c r="R2" i="6"/>
  <c r="N2" i="6"/>
  <c r="O2" i="6" s="1"/>
  <c r="R10" i="6"/>
  <c r="N10" i="6"/>
  <c r="O10" i="6"/>
  <c r="R18" i="6"/>
  <c r="N18" i="6"/>
  <c r="O18" i="6" s="1"/>
  <c r="R26" i="6"/>
  <c r="N26" i="6"/>
  <c r="O26" i="6" s="1"/>
  <c r="AR6" i="1"/>
  <c r="AR8" i="1"/>
  <c r="AS6" i="1"/>
  <c r="AS4" i="1"/>
  <c r="AL4" i="1"/>
  <c r="AL5" i="1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AL26" i="1"/>
  <c r="AL27" i="1"/>
  <c r="AL28" i="1"/>
  <c r="AL29" i="1"/>
  <c r="AL30" i="1"/>
  <c r="AL31" i="1"/>
  <c r="AL32" i="1"/>
  <c r="AL3" i="1"/>
  <c r="AK4" i="1"/>
  <c r="AK5" i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1" i="1"/>
  <c r="AK32" i="1"/>
  <c r="AK3" i="1"/>
  <c r="AJ4" i="1"/>
  <c r="AJ5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I4" i="1"/>
  <c r="AI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" i="1"/>
  <c r="AH3" i="1"/>
  <c r="AF32" i="1"/>
  <c r="AF31" i="1"/>
  <c r="AF30" i="1"/>
  <c r="AF29" i="1"/>
  <c r="AF28" i="1"/>
  <c r="AF27" i="1"/>
  <c r="AF26" i="1"/>
  <c r="AF25" i="1"/>
  <c r="AF24" i="1"/>
  <c r="AF23" i="1"/>
  <c r="AF22" i="1"/>
  <c r="AF21" i="1"/>
  <c r="AF20" i="1"/>
  <c r="AF19" i="1"/>
  <c r="AF18" i="1"/>
  <c r="AF17" i="1"/>
  <c r="AF16" i="1"/>
  <c r="AF15" i="1"/>
  <c r="AF14" i="1"/>
  <c r="AF13" i="1"/>
  <c r="AF12" i="1"/>
  <c r="AF11" i="1"/>
  <c r="AF10" i="1"/>
  <c r="AF9" i="1"/>
  <c r="AF8" i="1"/>
  <c r="AF7" i="1"/>
  <c r="AF6" i="1"/>
  <c r="AF5" i="1"/>
  <c r="AF4" i="1"/>
  <c r="AE4" i="1"/>
  <c r="AE5" i="1"/>
  <c r="AE6" i="1"/>
  <c r="AE7" i="1"/>
  <c r="AE8" i="1"/>
  <c r="AE9" i="1"/>
  <c r="AE10" i="1"/>
  <c r="AE11" i="1"/>
  <c r="AE12" i="1"/>
  <c r="AE13" i="1"/>
  <c r="AE14" i="1"/>
  <c r="AE15" i="1"/>
  <c r="AE16" i="1"/>
  <c r="AE17" i="1"/>
  <c r="AE18" i="1"/>
  <c r="AE19" i="1"/>
  <c r="AE20" i="1"/>
  <c r="AE21" i="1"/>
  <c r="AE22" i="1"/>
  <c r="AE23" i="1"/>
  <c r="AE24" i="1"/>
  <c r="AE25" i="1"/>
  <c r="AE26" i="1"/>
  <c r="AE27" i="1"/>
  <c r="AE28" i="1"/>
  <c r="AE29" i="1"/>
  <c r="AE30" i="1"/>
  <c r="AE31" i="1"/>
  <c r="AE32" i="1"/>
  <c r="AF3" i="1"/>
  <c r="AE3" i="1"/>
  <c r="AD4" i="1"/>
  <c r="AD5" i="1"/>
  <c r="AD6" i="1"/>
  <c r="AD7" i="1"/>
  <c r="AD8" i="1"/>
  <c r="AD9" i="1"/>
  <c r="AD10" i="1"/>
  <c r="AD11" i="1"/>
  <c r="AD12" i="1"/>
  <c r="AD13" i="1"/>
  <c r="AD14" i="1"/>
  <c r="AD15" i="1"/>
  <c r="AD16" i="1"/>
  <c r="AD17" i="1"/>
  <c r="AD18" i="1"/>
  <c r="AD19" i="1"/>
  <c r="AD20" i="1"/>
  <c r="AD21" i="1"/>
  <c r="AD22" i="1"/>
  <c r="AD23" i="1"/>
  <c r="AD24" i="1"/>
  <c r="AD25" i="1"/>
  <c r="AD26" i="1"/>
  <c r="AD27" i="1"/>
  <c r="AD28" i="1"/>
  <c r="AD29" i="1"/>
  <c r="AD30" i="1"/>
  <c r="AD31" i="1"/>
  <c r="AD32" i="1"/>
  <c r="AD3" i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" i="1"/>
  <c r="AJ3" i="1" s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F3" i="1"/>
  <c r="C7" i="3" s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AB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18" i="1"/>
  <c r="AA4" i="1"/>
  <c r="AA5" i="1"/>
  <c r="AA6" i="1"/>
  <c r="AA7" i="1"/>
  <c r="AA8" i="1"/>
  <c r="AA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" i="1"/>
  <c r="Z4" i="1"/>
  <c r="Z5" i="1"/>
  <c r="Z6" i="1"/>
  <c r="Z7" i="1"/>
  <c r="Z8" i="1"/>
  <c r="Z9" i="1"/>
  <c r="Z10" i="1"/>
  <c r="Z11" i="1"/>
  <c r="Z12" i="1"/>
  <c r="Z13" i="1"/>
  <c r="Z14" i="1"/>
  <c r="Z15" i="1"/>
  <c r="Z16" i="1"/>
  <c r="Z17" i="1"/>
  <c r="Z18" i="1"/>
  <c r="Z19" i="1"/>
  <c r="Z20" i="1"/>
  <c r="Z21" i="1"/>
  <c r="Z22" i="1"/>
  <c r="Z23" i="1"/>
  <c r="Z24" i="1"/>
  <c r="Z25" i="1"/>
  <c r="Z26" i="1"/>
  <c r="Z27" i="1"/>
  <c r="Z28" i="1"/>
  <c r="Z29" i="1"/>
  <c r="Z30" i="1"/>
  <c r="Z31" i="1"/>
  <c r="Z32" i="1"/>
  <c r="Z3" i="1"/>
  <c r="D28" i="5"/>
  <c r="C28" i="5"/>
  <c r="D27" i="5"/>
  <c r="C27" i="5"/>
  <c r="D26" i="5"/>
  <c r="C26" i="5"/>
  <c r="D24" i="5"/>
  <c r="C24" i="5"/>
  <c r="D23" i="5"/>
  <c r="C23" i="5"/>
  <c r="D22" i="5"/>
  <c r="C22" i="5"/>
  <c r="D20" i="5"/>
  <c r="C20" i="5"/>
  <c r="D19" i="5"/>
  <c r="C19" i="5"/>
  <c r="D18" i="5"/>
  <c r="C18" i="5"/>
  <c r="D17" i="5"/>
  <c r="C17" i="5"/>
  <c r="D16" i="5"/>
  <c r="C16" i="5"/>
  <c r="D15" i="5"/>
  <c r="C15" i="5"/>
  <c r="D14" i="5"/>
  <c r="C14" i="5"/>
  <c r="D13" i="5"/>
  <c r="C13" i="5"/>
  <c r="D12" i="5"/>
  <c r="C12" i="5"/>
  <c r="D10" i="5"/>
  <c r="C10" i="5"/>
  <c r="D7" i="5"/>
  <c r="C7" i="5"/>
  <c r="D6" i="5"/>
  <c r="C6" i="5"/>
  <c r="D5" i="5"/>
  <c r="C5" i="5"/>
  <c r="D4" i="5"/>
  <c r="C4" i="5"/>
  <c r="D22" i="4"/>
  <c r="C22" i="4"/>
  <c r="D21" i="4"/>
  <c r="C21" i="4"/>
  <c r="D20" i="4"/>
  <c r="C20" i="4"/>
  <c r="D19" i="4"/>
  <c r="C19" i="4"/>
  <c r="D18" i="4"/>
  <c r="C18" i="4"/>
  <c r="D17" i="4"/>
  <c r="C17" i="4"/>
  <c r="D16" i="4"/>
  <c r="C16" i="4"/>
  <c r="D15" i="4"/>
  <c r="C15" i="4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C4" i="4"/>
  <c r="D3" i="4"/>
  <c r="C3" i="4"/>
  <c r="C23" i="3"/>
  <c r="C20" i="3"/>
  <c r="C19" i="3"/>
  <c r="C13" i="3"/>
  <c r="C10" i="3"/>
  <c r="C9" i="3"/>
  <c r="C8" i="3"/>
  <c r="C6" i="3"/>
  <c r="C5" i="3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6" i="2"/>
  <c r="C26" i="2"/>
  <c r="D25" i="2"/>
  <c r="C25" i="2"/>
  <c r="D22" i="2"/>
  <c r="C22" i="2"/>
  <c r="D21" i="2"/>
  <c r="C21" i="2"/>
  <c r="D20" i="2"/>
  <c r="C20" i="2"/>
  <c r="D19" i="2"/>
  <c r="C19" i="2"/>
  <c r="D18" i="2"/>
  <c r="C18" i="2"/>
  <c r="D8" i="2"/>
  <c r="C8" i="2"/>
  <c r="D7" i="2"/>
  <c r="C7" i="2"/>
  <c r="D6" i="2"/>
  <c r="C6" i="2"/>
  <c r="D5" i="2"/>
  <c r="C5" i="2"/>
  <c r="D4" i="2"/>
  <c r="C4" i="2"/>
  <c r="Y32" i="1"/>
  <c r="X32" i="1"/>
  <c r="V32" i="1"/>
  <c r="O32" i="1"/>
  <c r="P32" i="1" s="1"/>
  <c r="K32" i="1"/>
  <c r="AM32" i="1" s="1"/>
  <c r="AN32" i="1" s="1"/>
  <c r="Y31" i="1"/>
  <c r="X31" i="1"/>
  <c r="V31" i="1"/>
  <c r="O31" i="1"/>
  <c r="P31" i="1" s="1"/>
  <c r="K31" i="1"/>
  <c r="AM31" i="1" s="1"/>
  <c r="AN31" i="1" s="1"/>
  <c r="Y30" i="1"/>
  <c r="X30" i="1"/>
  <c r="V30" i="1"/>
  <c r="O30" i="1"/>
  <c r="P30" i="1" s="1"/>
  <c r="U30" i="1" s="1"/>
  <c r="K30" i="1"/>
  <c r="AM30" i="1" s="1"/>
  <c r="AN30" i="1" s="1"/>
  <c r="Y29" i="1"/>
  <c r="X29" i="1"/>
  <c r="V29" i="1"/>
  <c r="O29" i="1"/>
  <c r="P29" i="1" s="1"/>
  <c r="K29" i="1"/>
  <c r="AM29" i="1" s="1"/>
  <c r="AN29" i="1" s="1"/>
  <c r="Y28" i="1"/>
  <c r="X28" i="1"/>
  <c r="V28" i="1"/>
  <c r="O28" i="1"/>
  <c r="P28" i="1" s="1"/>
  <c r="K28" i="1"/>
  <c r="AM28" i="1" s="1"/>
  <c r="AN28" i="1" s="1"/>
  <c r="Y27" i="1"/>
  <c r="X27" i="1"/>
  <c r="V27" i="1"/>
  <c r="O27" i="1"/>
  <c r="P27" i="1" s="1"/>
  <c r="K27" i="1"/>
  <c r="AM27" i="1" s="1"/>
  <c r="AN27" i="1" s="1"/>
  <c r="Y26" i="1"/>
  <c r="X26" i="1"/>
  <c r="V26" i="1"/>
  <c r="O26" i="1"/>
  <c r="P26" i="1" s="1"/>
  <c r="K26" i="1"/>
  <c r="AM26" i="1" s="1"/>
  <c r="AN26" i="1" s="1"/>
  <c r="Y25" i="1"/>
  <c r="X25" i="1"/>
  <c r="V25" i="1"/>
  <c r="O25" i="1"/>
  <c r="P25" i="1" s="1"/>
  <c r="U25" i="1" s="1"/>
  <c r="K25" i="1"/>
  <c r="AM25" i="1" s="1"/>
  <c r="AN25" i="1" s="1"/>
  <c r="Y24" i="1"/>
  <c r="X24" i="1"/>
  <c r="V24" i="1"/>
  <c r="O24" i="1"/>
  <c r="P24" i="1" s="1"/>
  <c r="K24" i="1"/>
  <c r="AM24" i="1" s="1"/>
  <c r="AN24" i="1" s="1"/>
  <c r="Y23" i="1"/>
  <c r="X23" i="1"/>
  <c r="V23" i="1"/>
  <c r="O23" i="1"/>
  <c r="P23" i="1" s="1"/>
  <c r="K23" i="1"/>
  <c r="AM23" i="1" s="1"/>
  <c r="AN23" i="1" s="1"/>
  <c r="Y22" i="1"/>
  <c r="X22" i="1"/>
  <c r="V22" i="1"/>
  <c r="O22" i="1"/>
  <c r="P22" i="1" s="1"/>
  <c r="U22" i="1" s="1"/>
  <c r="K22" i="1"/>
  <c r="AM22" i="1" s="1"/>
  <c r="AN22" i="1" s="1"/>
  <c r="Y21" i="1"/>
  <c r="X21" i="1"/>
  <c r="V21" i="1"/>
  <c r="O21" i="1"/>
  <c r="P21" i="1" s="1"/>
  <c r="K21" i="1"/>
  <c r="AM21" i="1" s="1"/>
  <c r="AN21" i="1" s="1"/>
  <c r="Y20" i="1"/>
  <c r="X20" i="1"/>
  <c r="V20" i="1"/>
  <c r="O20" i="1"/>
  <c r="P20" i="1" s="1"/>
  <c r="K20" i="1"/>
  <c r="AM20" i="1" s="1"/>
  <c r="AN20" i="1" s="1"/>
  <c r="Y19" i="1"/>
  <c r="X19" i="1"/>
  <c r="V19" i="1"/>
  <c r="O19" i="1"/>
  <c r="P19" i="1" s="1"/>
  <c r="K19" i="1"/>
  <c r="AM19" i="1" s="1"/>
  <c r="AN19" i="1" s="1"/>
  <c r="Y18" i="1"/>
  <c r="X18" i="1"/>
  <c r="V18" i="1"/>
  <c r="O18" i="1"/>
  <c r="P18" i="1" s="1"/>
  <c r="K18" i="1"/>
  <c r="AM18" i="1" s="1"/>
  <c r="AN18" i="1" s="1"/>
  <c r="Y17" i="1"/>
  <c r="X17" i="1"/>
  <c r="V17" i="1"/>
  <c r="O17" i="1"/>
  <c r="P17" i="1" s="1"/>
  <c r="U17" i="1" s="1"/>
  <c r="K17" i="1"/>
  <c r="AM17" i="1" s="1"/>
  <c r="AN17" i="1" s="1"/>
  <c r="Y16" i="1"/>
  <c r="X16" i="1"/>
  <c r="V16" i="1"/>
  <c r="O16" i="1"/>
  <c r="P16" i="1" s="1"/>
  <c r="K16" i="1"/>
  <c r="AM16" i="1" s="1"/>
  <c r="AN16" i="1" s="1"/>
  <c r="Y15" i="1"/>
  <c r="X15" i="1"/>
  <c r="V15" i="1"/>
  <c r="O15" i="1"/>
  <c r="P15" i="1" s="1"/>
  <c r="K15" i="1"/>
  <c r="AM15" i="1" s="1"/>
  <c r="AN15" i="1" s="1"/>
  <c r="Y14" i="1"/>
  <c r="X14" i="1"/>
  <c r="V14" i="1"/>
  <c r="O14" i="1"/>
  <c r="P14" i="1" s="1"/>
  <c r="U14" i="1" s="1"/>
  <c r="K14" i="1"/>
  <c r="AM14" i="1" s="1"/>
  <c r="AN14" i="1" s="1"/>
  <c r="Y13" i="1"/>
  <c r="X13" i="1"/>
  <c r="V13" i="1"/>
  <c r="O13" i="1"/>
  <c r="P13" i="1" s="1"/>
  <c r="K13" i="1"/>
  <c r="AM13" i="1" s="1"/>
  <c r="AN13" i="1" s="1"/>
  <c r="Y12" i="1"/>
  <c r="X12" i="1"/>
  <c r="V12" i="1"/>
  <c r="O12" i="1"/>
  <c r="P12" i="1" s="1"/>
  <c r="K12" i="1"/>
  <c r="AM12" i="1" s="1"/>
  <c r="AN12" i="1" s="1"/>
  <c r="Y11" i="1"/>
  <c r="X11" i="1"/>
  <c r="V11" i="1"/>
  <c r="O11" i="1"/>
  <c r="P11" i="1" s="1"/>
  <c r="K11" i="1"/>
  <c r="AM11" i="1" s="1"/>
  <c r="AN11" i="1" s="1"/>
  <c r="Y10" i="1"/>
  <c r="X10" i="1"/>
  <c r="V10" i="1"/>
  <c r="O10" i="1"/>
  <c r="P10" i="1" s="1"/>
  <c r="K10" i="1"/>
  <c r="AM10" i="1" s="1"/>
  <c r="AN10" i="1" s="1"/>
  <c r="Y9" i="1"/>
  <c r="X9" i="1"/>
  <c r="V9" i="1"/>
  <c r="O9" i="1"/>
  <c r="P9" i="1" s="1"/>
  <c r="U9" i="1" s="1"/>
  <c r="K9" i="1"/>
  <c r="AM9" i="1" s="1"/>
  <c r="AN9" i="1" s="1"/>
  <c r="Y8" i="1"/>
  <c r="X8" i="1"/>
  <c r="V8" i="1"/>
  <c r="O8" i="1"/>
  <c r="P8" i="1" s="1"/>
  <c r="K8" i="1"/>
  <c r="AM8" i="1" s="1"/>
  <c r="AN8" i="1" s="1"/>
  <c r="Y7" i="1"/>
  <c r="X7" i="1"/>
  <c r="V7" i="1"/>
  <c r="O7" i="1"/>
  <c r="P7" i="1" s="1"/>
  <c r="K7" i="1"/>
  <c r="AM7" i="1" s="1"/>
  <c r="AN7" i="1" s="1"/>
  <c r="Y6" i="1"/>
  <c r="X6" i="1"/>
  <c r="V6" i="1"/>
  <c r="O6" i="1"/>
  <c r="P6" i="1" s="1"/>
  <c r="U6" i="1" s="1"/>
  <c r="K6" i="1"/>
  <c r="AM6" i="1" s="1"/>
  <c r="AN6" i="1" s="1"/>
  <c r="Y5" i="1"/>
  <c r="X5" i="1"/>
  <c r="V5" i="1"/>
  <c r="O5" i="1"/>
  <c r="P5" i="1" s="1"/>
  <c r="K5" i="1"/>
  <c r="AM5" i="1" s="1"/>
  <c r="AN5" i="1" s="1"/>
  <c r="Y4" i="1"/>
  <c r="X4" i="1"/>
  <c r="V4" i="1"/>
  <c r="O4" i="1"/>
  <c r="P4" i="1" s="1"/>
  <c r="K4" i="1"/>
  <c r="AM4" i="1" s="1"/>
  <c r="AN4" i="1" s="1"/>
  <c r="Y3" i="1"/>
  <c r="C24" i="3" s="1"/>
  <c r="X3" i="1"/>
  <c r="V3" i="1"/>
  <c r="C22" i="3" s="1"/>
  <c r="O3" i="1"/>
  <c r="C15" i="3" s="1"/>
  <c r="K3" i="1"/>
  <c r="C14" i="3" l="1"/>
  <c r="C12" i="3"/>
  <c r="AQ31" i="1"/>
  <c r="AQ25" i="1"/>
  <c r="AQ19" i="1"/>
  <c r="AQ17" i="1"/>
  <c r="AQ15" i="1"/>
  <c r="AQ18" i="1"/>
  <c r="AQ14" i="1"/>
  <c r="AQ9" i="1"/>
  <c r="AQ30" i="1"/>
  <c r="AQ28" i="1"/>
  <c r="AQ12" i="1"/>
  <c r="AQ29" i="1"/>
  <c r="AQ13" i="1"/>
  <c r="AQ24" i="1"/>
  <c r="AQ8" i="1"/>
  <c r="AQ27" i="1"/>
  <c r="AQ10" i="1"/>
  <c r="AQ23" i="1"/>
  <c r="AQ7" i="1"/>
  <c r="AQ22" i="1"/>
  <c r="AQ6" i="1"/>
  <c r="AQ32" i="1"/>
  <c r="AQ26" i="1"/>
  <c r="AQ21" i="1"/>
  <c r="AQ5" i="1"/>
  <c r="AQ16" i="1"/>
  <c r="AQ11" i="1"/>
  <c r="AQ20" i="1"/>
  <c r="AQ4" i="1"/>
  <c r="AO31" i="1"/>
  <c r="AO30" i="1"/>
  <c r="AO21" i="1"/>
  <c r="AO18" i="1"/>
  <c r="AO22" i="1"/>
  <c r="AO17" i="1"/>
  <c r="AO15" i="1"/>
  <c r="AO23" i="1"/>
  <c r="AO7" i="1"/>
  <c r="AO19" i="1"/>
  <c r="AO6" i="1"/>
  <c r="AO5" i="1"/>
  <c r="AO32" i="1"/>
  <c r="AO16" i="1"/>
  <c r="AO14" i="1"/>
  <c r="AO11" i="1"/>
  <c r="AO29" i="1"/>
  <c r="AO28" i="1"/>
  <c r="AO12" i="1"/>
  <c r="AO26" i="1"/>
  <c r="AO10" i="1"/>
  <c r="AO25" i="1"/>
  <c r="AO9" i="1"/>
  <c r="AO13" i="1"/>
  <c r="AO27" i="1"/>
  <c r="AO24" i="1"/>
  <c r="AO8" i="1"/>
  <c r="AO20" i="1"/>
  <c r="AO4" i="1"/>
  <c r="AM3" i="1"/>
  <c r="U32" i="1"/>
  <c r="Q32" i="1"/>
  <c r="R32" i="1" s="1"/>
  <c r="U8" i="1"/>
  <c r="Q8" i="1"/>
  <c r="R8" i="1" s="1"/>
  <c r="Q24" i="1"/>
  <c r="R24" i="1" s="1"/>
  <c r="U24" i="1"/>
  <c r="D9" i="5"/>
  <c r="U23" i="1"/>
  <c r="Q23" i="1"/>
  <c r="R23" i="1"/>
  <c r="U29" i="1"/>
  <c r="Q29" i="1"/>
  <c r="R29" i="1" s="1"/>
  <c r="Q15" i="1"/>
  <c r="R15" i="1"/>
  <c r="U15" i="1"/>
  <c r="U12" i="1"/>
  <c r="Q12" i="1"/>
  <c r="R12" i="1" s="1"/>
  <c r="U18" i="1"/>
  <c r="Q18" i="1"/>
  <c r="R18" i="1" s="1"/>
  <c r="U7" i="1"/>
  <c r="Q7" i="1"/>
  <c r="R7" i="1" s="1"/>
  <c r="Q26" i="1"/>
  <c r="U26" i="1"/>
  <c r="R26" i="1"/>
  <c r="U27" i="1"/>
  <c r="Q27" i="1"/>
  <c r="R27" i="1" s="1"/>
  <c r="U16" i="1"/>
  <c r="Q16" i="1"/>
  <c r="R16" i="1" s="1"/>
  <c r="U5" i="1"/>
  <c r="Q5" i="1"/>
  <c r="R5" i="1" s="1"/>
  <c r="Q31" i="1"/>
  <c r="U31" i="1"/>
  <c r="R31" i="1"/>
  <c r="U21" i="1"/>
  <c r="Q21" i="1"/>
  <c r="R21" i="1" s="1"/>
  <c r="U4" i="1"/>
  <c r="Q4" i="1"/>
  <c r="R4" i="1" s="1"/>
  <c r="U13" i="1"/>
  <c r="Q13" i="1"/>
  <c r="R13" i="1"/>
  <c r="Q10" i="1"/>
  <c r="U10" i="1"/>
  <c r="R10" i="1"/>
  <c r="U19" i="1"/>
  <c r="Q19" i="1"/>
  <c r="R19" i="1"/>
  <c r="U28" i="1"/>
  <c r="Q28" i="1"/>
  <c r="R28" i="1" s="1"/>
  <c r="U11" i="1"/>
  <c r="Q11" i="1"/>
  <c r="R11" i="1"/>
  <c r="U20" i="1"/>
  <c r="Q20" i="1"/>
  <c r="R20" i="1" s="1"/>
  <c r="Q17" i="1"/>
  <c r="R17" i="1" s="1"/>
  <c r="P3" i="1"/>
  <c r="Q14" i="1"/>
  <c r="R14" i="1" s="1"/>
  <c r="D15" i="2" s="1"/>
  <c r="Q30" i="1"/>
  <c r="R30" i="1" s="1"/>
  <c r="C11" i="3"/>
  <c r="C9" i="5"/>
  <c r="Q9" i="1"/>
  <c r="R9" i="1" s="1"/>
  <c r="Q6" i="1"/>
  <c r="R6" i="1" s="1"/>
  <c r="Q22" i="1"/>
  <c r="R22" i="1" s="1"/>
  <c r="Q25" i="1"/>
  <c r="R25" i="1" s="1"/>
  <c r="AQ3" i="1" l="1"/>
  <c r="AR3" i="1"/>
  <c r="AO3" i="1"/>
  <c r="AS3" i="1" s="1"/>
  <c r="AP3" i="1"/>
  <c r="AN3" i="1"/>
  <c r="C12" i="2"/>
  <c r="D12" i="2"/>
  <c r="D13" i="2"/>
  <c r="C13" i="2"/>
  <c r="C15" i="2"/>
  <c r="C16" i="3"/>
  <c r="U3" i="1"/>
  <c r="Q3" i="1"/>
  <c r="C17" i="3" s="1"/>
  <c r="D14" i="2"/>
  <c r="C14" i="2"/>
  <c r="R3" i="1" l="1"/>
  <c r="D30" i="5"/>
  <c r="C30" i="5"/>
  <c r="D29" i="5"/>
  <c r="C29" i="5"/>
  <c r="C21" i="3"/>
  <c r="C11" i="2" l="1"/>
  <c r="D11" i="2"/>
  <c r="D8" i="5"/>
  <c r="C8" i="5"/>
  <c r="C18" i="3"/>
</calcChain>
</file>

<file path=xl/sharedStrings.xml><?xml version="1.0" encoding="utf-8"?>
<sst xmlns="http://schemas.openxmlformats.org/spreadsheetml/2006/main" count="1108" uniqueCount="415">
  <si>
    <t>🏢  EMPLOYEE MASTER DATABASE – 2024</t>
  </si>
  <si>
    <t>Emp ID</t>
  </si>
  <si>
    <t>Full Name</t>
  </si>
  <si>
    <t>Department</t>
  </si>
  <si>
    <t>Designation</t>
  </si>
  <si>
    <t>Gender</t>
  </si>
  <si>
    <t>Age</t>
  </si>
  <si>
    <t>Date of Join</t>
  </si>
  <si>
    <t>Experience(Yrs)</t>
  </si>
  <si>
    <t>City</t>
  </si>
  <si>
    <t>Basic Salary</t>
  </si>
  <si>
    <t>HRA</t>
  </si>
  <si>
    <t>Allowances</t>
  </si>
  <si>
    <t>Gross Salary</t>
  </si>
  <si>
    <t>Tax (10%)</t>
  </si>
  <si>
    <t>Net Salary</t>
  </si>
  <si>
    <t>Performance</t>
  </si>
  <si>
    <t>Rating (1-5)</t>
  </si>
  <si>
    <t>Bonus</t>
  </si>
  <si>
    <t>Email</t>
  </si>
  <si>
    <t>Phone</t>
  </si>
  <si>
    <t>Join Month</t>
  </si>
  <si>
    <t>Salary Band</t>
  </si>
  <si>
    <t>EMP101</t>
  </si>
  <si>
    <t>Aarav Sharma</t>
  </si>
  <si>
    <t>IT</t>
  </si>
  <si>
    <t>Male</t>
  </si>
  <si>
    <t>2019-03-15</t>
  </si>
  <si>
    <t>Mumbai</t>
  </si>
  <si>
    <t>Excellent</t>
  </si>
  <si>
    <t>+91-9800000007</t>
  </si>
  <si>
    <t>EMP102</t>
  </si>
  <si>
    <t>Priya Patel</t>
  </si>
  <si>
    <t>HR</t>
  </si>
  <si>
    <t>HR Manager</t>
  </si>
  <si>
    <t>Female</t>
  </si>
  <si>
    <t>2017-06-01</t>
  </si>
  <si>
    <t>Ahmedabad</t>
  </si>
  <si>
    <t>Good</t>
  </si>
  <si>
    <t>+91-9800000020</t>
  </si>
  <si>
    <t>EMP103</t>
  </si>
  <si>
    <t>Rohit Mehta</t>
  </si>
  <si>
    <t>Finance</t>
  </si>
  <si>
    <t>Financial Analyst</t>
  </si>
  <si>
    <t>2018-09-10</t>
  </si>
  <si>
    <t>Delhi</t>
  </si>
  <si>
    <t>+91-9800000033</t>
  </si>
  <si>
    <t>EMP104</t>
  </si>
  <si>
    <t>Sneha Reddy</t>
  </si>
  <si>
    <t>Full Stack Developer</t>
  </si>
  <si>
    <t>2021-01-20</t>
  </si>
  <si>
    <t>Hyderabad</t>
  </si>
  <si>
    <t>+91-9800000046</t>
  </si>
  <si>
    <t>EMP105</t>
  </si>
  <si>
    <t>Vikram Singh</t>
  </si>
  <si>
    <t>Sales</t>
  </si>
  <si>
    <t>Sales Executive</t>
  </si>
  <si>
    <t>2020-07-05</t>
  </si>
  <si>
    <t>Jaipur</t>
  </si>
  <si>
    <t>Average</t>
  </si>
  <si>
    <t>+91-9800000059</t>
  </si>
  <si>
    <t>EMP106</t>
  </si>
  <si>
    <t>Kavya Nair</t>
  </si>
  <si>
    <t>Marketing</t>
  </si>
  <si>
    <t>Marketing Manager</t>
  </si>
  <si>
    <t>2015-11-12</t>
  </si>
  <si>
    <t>Kochi</t>
  </si>
  <si>
    <t>+91-9800000072</t>
  </si>
  <si>
    <t>EMP107</t>
  </si>
  <si>
    <t>Arjun Kumar</t>
  </si>
  <si>
    <t>Data Scientist</t>
  </si>
  <si>
    <t>2020-04-18</t>
  </si>
  <si>
    <t>Bangalore</t>
  </si>
  <si>
    <t>Outstanding</t>
  </si>
  <si>
    <t>+91-9800000085</t>
  </si>
  <si>
    <t>EMP108</t>
  </si>
  <si>
    <t>Divya Verma</t>
  </si>
  <si>
    <t>Accountant</t>
  </si>
  <si>
    <t>2022-02-28</t>
  </si>
  <si>
    <t>Pune</t>
  </si>
  <si>
    <t>+91-9800000098</t>
  </si>
  <si>
    <t>EMP109</t>
  </si>
  <si>
    <t>Ravi Tiwari</t>
  </si>
  <si>
    <t>Regional Manager</t>
  </si>
  <si>
    <t>2013-08-30</t>
  </si>
  <si>
    <t>Lucknow</t>
  </si>
  <si>
    <t>+91-9800000111</t>
  </si>
  <si>
    <t>EMP110</t>
  </si>
  <si>
    <t>Anjali Mishra</t>
  </si>
  <si>
    <t>Recruiter</t>
  </si>
  <si>
    <t>2023-03-01</t>
  </si>
  <si>
    <t>Bhopal</t>
  </si>
  <si>
    <t>+91-9800000124</t>
  </si>
  <si>
    <t>EMP111</t>
  </si>
  <si>
    <t>Suresh Gupta</t>
  </si>
  <si>
    <t>DevOps Engineer</t>
  </si>
  <si>
    <t>2019-05-22</t>
  </si>
  <si>
    <t>Chennai</t>
  </si>
  <si>
    <t>+91-9800000137</t>
  </si>
  <si>
    <t>EMP112</t>
  </si>
  <si>
    <t>Meera Joshi</t>
  </si>
  <si>
    <t>Content Strategist</t>
  </si>
  <si>
    <t>2021-09-14</t>
  </si>
  <si>
    <t>Indore</t>
  </si>
  <si>
    <t>+91-9800000150</t>
  </si>
  <si>
    <t>EMP113</t>
  </si>
  <si>
    <t>Nikhil Pandey</t>
  </si>
  <si>
    <t>Senior Accountant</t>
  </si>
  <si>
    <t>2016-12-03</t>
  </si>
  <si>
    <t>Varanasi</t>
  </si>
  <si>
    <t>+91-9800000163</t>
  </si>
  <si>
    <t>EMP114</t>
  </si>
  <si>
    <t>Pooja Yadav</t>
  </si>
  <si>
    <t>QA Engineer</t>
  </si>
  <si>
    <t>2022-06-17</t>
  </si>
  <si>
    <t>Nagpur</t>
  </si>
  <si>
    <t>+91-9800000176</t>
  </si>
  <si>
    <t>EMP115</t>
  </si>
  <si>
    <t>Manoj Desai</t>
  </si>
  <si>
    <t>Sales Manager</t>
  </si>
  <si>
    <t>2014-10-25</t>
  </si>
  <si>
    <t>Surat</t>
  </si>
  <si>
    <t>+91-9800000189</t>
  </si>
  <si>
    <t>EMP116</t>
  </si>
  <si>
    <t>Lakshmi Iyer</t>
  </si>
  <si>
    <t>Training Specialist</t>
  </si>
  <si>
    <t>2019-07-08</t>
  </si>
  <si>
    <t>Madurai</t>
  </si>
  <si>
    <t>+91-9800000202</t>
  </si>
  <si>
    <t>EMP117</t>
  </si>
  <si>
    <t>Aditya Kapoor</t>
  </si>
  <si>
    <t>Cloud Architect</t>
  </si>
  <si>
    <t>2016-03-20</t>
  </si>
  <si>
    <t>Noida</t>
  </si>
  <si>
    <t>+91-9800000215</t>
  </si>
  <si>
    <t>EMP118</t>
  </si>
  <si>
    <t>Nisha Saxena</t>
  </si>
  <si>
    <t>SEO Specialist</t>
  </si>
  <si>
    <t>2023-01-09</t>
  </si>
  <si>
    <t>Agra</t>
  </si>
  <si>
    <t>+91-9800000228</t>
  </si>
  <si>
    <t>EMP119</t>
  </si>
  <si>
    <t>Rajesh Bose</t>
  </si>
  <si>
    <t>CFO</t>
  </si>
  <si>
    <t>2010-04-15</t>
  </si>
  <si>
    <t>Kolkata</t>
  </si>
  <si>
    <t>+91-9800000241</t>
  </si>
  <si>
    <t>EMP120</t>
  </si>
  <si>
    <t>Simran Kaur</t>
  </si>
  <si>
    <t>Mobile Developer</t>
  </si>
  <si>
    <t>2021-11-30</t>
  </si>
  <si>
    <t>Chandigarh</t>
  </si>
  <si>
    <t>+91-9800000254</t>
  </si>
  <si>
    <t>EMP121</t>
  </si>
  <si>
    <t>Tarun Bhatt</t>
  </si>
  <si>
    <t>2024-01-15</t>
  </si>
  <si>
    <t>Dehradun</t>
  </si>
  <si>
    <t>+91-9800000267</t>
  </si>
  <si>
    <t>EMP122</t>
  </si>
  <si>
    <t>Uma Shetty</t>
  </si>
  <si>
    <t>HR Director</t>
  </si>
  <si>
    <t>2011-09-01</t>
  </si>
  <si>
    <t>Mangalore</t>
  </si>
  <si>
    <t>+91-9800000280</t>
  </si>
  <si>
    <t>EMP123</t>
  </si>
  <si>
    <t>Varun Malhotra</t>
  </si>
  <si>
    <t>Backend Developer</t>
  </si>
  <si>
    <t>2020-08-12</t>
  </si>
  <si>
    <t>Gurgaon</t>
  </si>
  <si>
    <t>+91-9800000293</t>
  </si>
  <si>
    <t>EMP124</t>
  </si>
  <si>
    <t>Waqar Hussain</t>
  </si>
  <si>
    <t>Brand Manager</t>
  </si>
  <si>
    <t>2018-02-22</t>
  </si>
  <si>
    <t>+91-9800000306</t>
  </si>
  <si>
    <t>EMP125</t>
  </si>
  <si>
    <t>Yamini Rao</t>
  </si>
  <si>
    <t>Tax Consultant</t>
  </si>
  <si>
    <t>2019-10-07</t>
  </si>
  <si>
    <t>Vijayawada</t>
  </si>
  <si>
    <t>+91-9800000319</t>
  </si>
  <si>
    <t>EMP126</t>
  </si>
  <si>
    <t>Zara Ahmed</t>
  </si>
  <si>
    <t>Cyber Security Analyst</t>
  </si>
  <si>
    <t>2020-12-01</t>
  </si>
  <si>
    <t>+91-9800000332</t>
  </si>
  <si>
    <t>EMP127</t>
  </si>
  <si>
    <t>Ajay Choudhary</t>
  </si>
  <si>
    <t>Business Developer</t>
  </si>
  <si>
    <t>2018-06-18</t>
  </si>
  <si>
    <t>Patna</t>
  </si>
  <si>
    <t>+91-9800000345</t>
  </si>
  <si>
    <t>EMP128</t>
  </si>
  <si>
    <t>Bharti Trivedi</t>
  </si>
  <si>
    <t>Payroll Specialist</t>
  </si>
  <si>
    <t>2022-04-05</t>
  </si>
  <si>
    <t>+91-9800000358</t>
  </si>
  <si>
    <t>EMP129</t>
  </si>
  <si>
    <t>Chetan Rawat</t>
  </si>
  <si>
    <t>Machine Learning Eng</t>
  </si>
  <si>
    <t>2021-03-25</t>
  </si>
  <si>
    <t>+91-9800000371</t>
  </si>
  <si>
    <t>EMP130</t>
  </si>
  <si>
    <t>Deepa Krishnan</t>
  </si>
  <si>
    <t>Digital Marketing Mgr</t>
  </si>
  <si>
    <t>2017-07-14</t>
  </si>
  <si>
    <t>+91-9800000384</t>
  </si>
  <si>
    <t>📊  FORMULA DASHBOARD</t>
  </si>
  <si>
    <t>💰  SUMIF  –  Total Salary by Department</t>
  </si>
  <si>
    <t>Total Basic Salary – IT</t>
  </si>
  <si>
    <t>Total Basic Salary – HR</t>
  </si>
  <si>
    <t>Total Basic Salary – Finance</t>
  </si>
  <si>
    <t>Total Basic Salary – Sales</t>
  </si>
  <si>
    <t>Total Basic Salary – Marketing</t>
  </si>
  <si>
    <t>💰  SUMIF  –  Total Net Salary by Department</t>
  </si>
  <si>
    <t>Total Net Salary – IT</t>
  </si>
  <si>
    <t>Total Net Salary – HR</t>
  </si>
  <si>
    <t>Total Net Salary – Finance</t>
  </si>
  <si>
    <t>Total Net Salary – Sales</t>
  </si>
  <si>
    <t>Total Net Salary – Marketing</t>
  </si>
  <si>
    <t>📈  AVERAGEIF  –  Average Salary &amp; Rating</t>
  </si>
  <si>
    <t>Avg Basic Salary – IT</t>
  </si>
  <si>
    <t>Avg Basic Salary – HR</t>
  </si>
  <si>
    <t>Avg Basic Salary – Finance</t>
  </si>
  <si>
    <t>Avg Basic Salary – Sales</t>
  </si>
  <si>
    <t>Avg Basic Salary – Marketing</t>
  </si>
  <si>
    <t>📈  AVERAGEIF  –  Average Rating by Gender</t>
  </si>
  <si>
    <t>Avg Rating – Male</t>
  </si>
  <si>
    <t>Avg Rating – Female</t>
  </si>
  <si>
    <t>🔢  COUNTIF  –  Employee Counts</t>
  </si>
  <si>
    <t>Total Employees – IT</t>
  </si>
  <si>
    <t>Total Employees – HR</t>
  </si>
  <si>
    <t>Total Employees – Finance</t>
  </si>
  <si>
    <t>Total Employees – Sales</t>
  </si>
  <si>
    <t>Total Employees – Marketing</t>
  </si>
  <si>
    <t>Count of Male Employees</t>
  </si>
  <si>
    <t>Count of Female Employees</t>
  </si>
  <si>
    <t>Count – Excellent Performance</t>
  </si>
  <si>
    <t>Count – Outstanding Perf.</t>
  </si>
  <si>
    <t>Count – Rating = 5</t>
  </si>
  <si>
    <t>🔍  VLOOKUP EMPLOYEE LOOKUP TOOL</t>
  </si>
  <si>
    <t>▶  Enter Employee ID (e.g. EMP101):</t>
  </si>
  <si>
    <t>Date of Joining</t>
  </si>
  <si>
    <t>Experience (Yrs)</t>
  </si>
  <si>
    <t>Rating</t>
  </si>
  <si>
    <t>Annual Bonus</t>
  </si>
  <si>
    <t>💡  Tip: Change the Employee ID in cell D3 (EMP101–EMP130) to auto-populate all fields using VLOOKUP.</t>
  </si>
  <si>
    <t>📝  TEXT FORMULA EXAMPLES</t>
  </si>
  <si>
    <t>Formula Description</t>
  </si>
  <si>
    <t>Formula Syntax</t>
  </si>
  <si>
    <t>Result / Output</t>
  </si>
  <si>
    <t>UPPER – Full Name</t>
  </si>
  <si>
    <t>LOWER – Email</t>
  </si>
  <si>
    <t>PROPER – Department</t>
  </si>
  <si>
    <t>LEN – Name Length</t>
  </si>
  <si>
    <t>LEFT – First Name</t>
  </si>
  <si>
    <t>RIGHT – Last Name (4 chars)</t>
  </si>
  <si>
    <t>MID – Middle chars</t>
  </si>
  <si>
    <t>FIND – Space position</t>
  </si>
  <si>
    <t>TRIM – Remove extra spaces</t>
  </si>
  <si>
    <t>CONCATENATE – Full Email</t>
  </si>
  <si>
    <t>TEXT – Format Date</t>
  </si>
  <si>
    <t>TEXT – Format Number as ₹</t>
  </si>
  <si>
    <t>SUBSTITUTE – Replace text</t>
  </si>
  <si>
    <t>REPT – Repeat char (rating)</t>
  </si>
  <si>
    <t>VALUE – Text to Number</t>
  </si>
  <si>
    <t>TODAY – Current Date</t>
  </si>
  <si>
    <t>YEAR – Extract Year</t>
  </si>
  <si>
    <t>MONTH – Extract Month</t>
  </si>
  <si>
    <t>DAY – Extract Day</t>
  </si>
  <si>
    <t>DATEDIF – Years of Exp</t>
  </si>
  <si>
    <t>📋  SUMMARY STATISTICS</t>
  </si>
  <si>
    <t xml:space="preserve">    –  Metric</t>
  </si>
  <si>
    <t xml:space="preserve">  OVERALL  –  Total Employees</t>
  </si>
  <si>
    <t>Total Basic Salary</t>
  </si>
  <si>
    <t>Average Basic Salary</t>
  </si>
  <si>
    <t>Max Basic Salary</t>
  </si>
  <si>
    <t>Min Basic Salary</t>
  </si>
  <si>
    <t>Total Net Salary</t>
  </si>
  <si>
    <t>Avg Experience (Yrs)</t>
  </si>
  <si>
    <t>Avg Rating</t>
  </si>
  <si>
    <t xml:space="preserve">  BY DEPT  –  IT – Headcount</t>
  </si>
  <si>
    <t>IT – Avg Salary</t>
  </si>
  <si>
    <t>HR – Headcount</t>
  </si>
  <si>
    <t>HR – Avg Salary</t>
  </si>
  <si>
    <t>Finance – Headcount</t>
  </si>
  <si>
    <t>Finance – Avg Salary</t>
  </si>
  <si>
    <t>Sales – Headcount</t>
  </si>
  <si>
    <t>Sales – Avg Salary</t>
  </si>
  <si>
    <t>Marketing – Headcount</t>
  </si>
  <si>
    <t>Marketing – Avg Salary</t>
  </si>
  <si>
    <t xml:space="preserve">  BY GENDER  –  Male – Count</t>
  </si>
  <si>
    <t>Female – Count</t>
  </si>
  <si>
    <t>Male – Avg Salary</t>
  </si>
  <si>
    <t>Female – Avg Salary</t>
  </si>
  <si>
    <t xml:space="preserve">  PERFORMANCE  –  Outstanding Count</t>
  </si>
  <si>
    <t>Excellent Count</t>
  </si>
  <si>
    <t>Good Count</t>
  </si>
  <si>
    <t>Average Count</t>
  </si>
  <si>
    <t>Avg Bonus Paid</t>
  </si>
  <si>
    <t>Total Bonus Paid</t>
  </si>
  <si>
    <t>Text Function</t>
  </si>
  <si>
    <t>Hello Red &amp; White 
Skill 
Education</t>
  </si>
  <si>
    <t xml:space="preserve">
software Engineer</t>
  </si>
  <si>
    <t>EMPLOPYEE ID</t>
  </si>
  <si>
    <t>EMPLOYEE NAME</t>
  </si>
  <si>
    <t>BASIC SALARY</t>
  </si>
  <si>
    <t>Employee Name</t>
  </si>
  <si>
    <t>ID</t>
  </si>
  <si>
    <t>Lakshmi</t>
  </si>
  <si>
    <t>Aditya</t>
  </si>
  <si>
    <t>Nisha</t>
  </si>
  <si>
    <t>Rajesh</t>
  </si>
  <si>
    <t>Simran</t>
  </si>
  <si>
    <t>Tarun</t>
  </si>
  <si>
    <t>Uma</t>
  </si>
  <si>
    <t>Varun</t>
  </si>
  <si>
    <t>Waqar</t>
  </si>
  <si>
    <t>Yamini</t>
  </si>
  <si>
    <t>Zara</t>
  </si>
  <si>
    <t>Ajay</t>
  </si>
  <si>
    <t>Bharti</t>
  </si>
  <si>
    <t>Chetan</t>
  </si>
  <si>
    <t>Deepa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</si>
  <si>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</si>
  <si>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</si>
  <si>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</si>
  <si>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</si>
  <si>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</si>
  <si>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</si>
  <si>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</si>
  <si>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</si>
  <si>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</si>
  <si>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</si>
  <si>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</si>
  <si>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</si>
  <si>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</si>
  <si>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</si>
  <si>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</si>
  <si>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</si>
  <si>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</si>
  <si>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</si>
  <si>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</si>
  <si>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</si>
  <si>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</si>
  <si>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</si>
  <si>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</si>
  <si>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</si>
  <si>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</si>
  <si>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</si>
  <si>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</si>
  <si>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</si>
  <si>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</si>
  <si>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</si>
  <si>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</si>
  <si>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</si>
  <si>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</si>
  <si>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</si>
  <si>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</si>
  <si>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</si>
  <si>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</si>
  <si>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</si>
  <si>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</si>
  <si>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</si>
  <si>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</si>
  <si>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</si>
  <si>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</si>
  <si>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Aarav</t>
  </si>
  <si>
    <t>Priya</t>
  </si>
  <si>
    <t>Rohit</t>
  </si>
  <si>
    <t>Sneha</t>
  </si>
  <si>
    <t>Vikram</t>
  </si>
  <si>
    <t>Kavya</t>
  </si>
  <si>
    <t>Arjun</t>
  </si>
  <si>
    <t>Divya</t>
  </si>
  <si>
    <t>Ravi</t>
  </si>
  <si>
    <t>Anjali</t>
  </si>
  <si>
    <t>Suresh</t>
  </si>
  <si>
    <t>Meera</t>
  </si>
  <si>
    <t>Nikhil</t>
  </si>
  <si>
    <t>Pooja</t>
  </si>
  <si>
    <t>Manoj</t>
  </si>
  <si>
    <t>First Nam,e</t>
  </si>
  <si>
    <t>Column210</t>
  </si>
  <si>
    <t>lyer</t>
  </si>
  <si>
    <t>aapoor</t>
  </si>
  <si>
    <t>naxena</t>
  </si>
  <si>
    <t>rose</t>
  </si>
  <si>
    <t>saur</t>
  </si>
  <si>
    <t>thatt</t>
  </si>
  <si>
    <t>uhetty</t>
  </si>
  <si>
    <t>valhotra</t>
  </si>
  <si>
    <t>wussain</t>
  </si>
  <si>
    <t>yao</t>
  </si>
  <si>
    <t>zhmed</t>
  </si>
  <si>
    <t>ahoudhary</t>
  </si>
  <si>
    <t>brivedi</t>
  </si>
  <si>
    <t>cawat</t>
  </si>
  <si>
    <t>drishnan</t>
  </si>
  <si>
    <t>aharma</t>
  </si>
  <si>
    <t>patel</t>
  </si>
  <si>
    <t>rehta</t>
  </si>
  <si>
    <t>seddy</t>
  </si>
  <si>
    <t>vingh</t>
  </si>
  <si>
    <t>kair</t>
  </si>
  <si>
    <t>aumar</t>
  </si>
  <si>
    <t>derma</t>
  </si>
  <si>
    <t>riwari</t>
  </si>
  <si>
    <t>aishra</t>
  </si>
  <si>
    <t>supta</t>
  </si>
  <si>
    <t>moshi</t>
  </si>
  <si>
    <t>nandey</t>
  </si>
  <si>
    <t>padav</t>
  </si>
  <si>
    <t>mesai</t>
  </si>
  <si>
    <t>Last Nam,e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</si>
</sst>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m\-yyyy"/>
    <numFmt numFmtId="165" formatCode="\₹#,##0"/>
  </numFmts>
  <fonts count="16" x14ac:knownFonts="1">
    <font>
      <sz val="11"/>
      <color theme="1"/>
      <name val="Calibri"/>
      <family val="2"/>
      <scheme val="minor"/>
    </font>
    <font>
      <b/>
      <sz val="16"/>
      <color rgb="FFFFFFFF"/>
      <name val="Calibri"/>
    </font>
    <font>
      <b/>
      <sz val="11"/>
      <color rgb="FFFFFFFF"/>
      <name val="Calibri"/>
    </font>
    <font>
      <sz val="10"/>
      <name val="Calibri"/>
    </font>
    <font>
      <b/>
      <sz val="18"/>
      <color rgb="FFFFFFFF"/>
      <name val="Calibri"/>
    </font>
    <font>
      <b/>
      <sz val="12"/>
      <color rgb="FFFFFFFF"/>
      <name val="Calibri"/>
    </font>
    <font>
      <b/>
      <sz val="10"/>
      <name val="Calibri"/>
    </font>
    <font>
      <sz val="10"/>
      <color rgb="FF003366"/>
      <name val="Calibri"/>
    </font>
    <font>
      <b/>
      <sz val="10"/>
      <color rgb="FF1E3A5F"/>
      <name val="Calibri"/>
    </font>
    <font>
      <b/>
      <sz val="12"/>
      <color rgb="FFC0392B"/>
      <name val="Calibri"/>
    </font>
    <font>
      <sz val="10"/>
      <color rgb="FF1E3A5F"/>
      <name val="Calibri"/>
    </font>
    <font>
      <i/>
      <sz val="10"/>
      <color rgb="FF1E3A5F"/>
      <name val="Calibri"/>
    </font>
    <font>
      <sz val="10"/>
      <color rgb="FFC0392B"/>
      <name val="Calibri"/>
    </font>
    <font>
      <b/>
      <sz val="10"/>
      <color rgb="FFFFFFFF"/>
      <name val="Calibri"/>
    </font>
    <font>
      <sz val="9"/>
      <color rgb="FFC0392B"/>
      <name val="Calibri"/>
    </font>
    <font>
      <sz val="10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2E6DA4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F4A261"/>
      </patternFill>
    </fill>
    <fill>
      <patternFill patternType="solid">
        <fgColor rgb="FFFFF3CD"/>
      </patternFill>
    </fill>
    <fill>
      <patternFill patternType="solid">
        <fgColor rgb="FFFFF9C4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164" fontId="3" fillId="4" borderId="1" xfId="0" applyNumberFormat="1" applyFont="1" applyFill="1" applyBorder="1" applyAlignment="1">
      <alignment horizontal="center" vertical="center" wrapText="1"/>
    </xf>
    <xf numFmtId="165" fontId="3" fillId="4" borderId="1" xfId="0" applyNumberFormat="1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164" fontId="3" fillId="5" borderId="1" xfId="0" applyNumberFormat="1" applyFont="1" applyFill="1" applyBorder="1" applyAlignment="1">
      <alignment horizontal="center" vertical="center" wrapText="1"/>
    </xf>
    <xf numFmtId="165" fontId="3" fillId="5" borderId="1" xfId="0" applyNumberFormat="1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/>
    </xf>
    <xf numFmtId="0" fontId="7" fillId="4" borderId="1" xfId="0" applyFont="1" applyFill="1" applyBorder="1" applyAlignment="1">
      <alignment horizontal="left" vertical="center"/>
    </xf>
    <xf numFmtId="165" fontId="8" fillId="4" borderId="1" xfId="0" applyNumberFormat="1" applyFont="1" applyFill="1" applyBorder="1" applyAlignment="1">
      <alignment horizontal="center" vertical="center" wrapText="1"/>
    </xf>
    <xf numFmtId="0" fontId="6" fillId="5" borderId="1" xfId="0" applyFont="1" applyFill="1" applyBorder="1" applyAlignment="1">
      <alignment horizontal="left" vertical="center"/>
    </xf>
    <xf numFmtId="0" fontId="7" fillId="5" borderId="1" xfId="0" applyFont="1" applyFill="1" applyBorder="1" applyAlignment="1">
      <alignment horizontal="left" vertical="center"/>
    </xf>
    <xf numFmtId="165" fontId="8" fillId="5" borderId="1" xfId="0" applyNumberFormat="1" applyFont="1" applyFill="1" applyBorder="1" applyAlignment="1">
      <alignment horizontal="center" vertical="center" wrapText="1"/>
    </xf>
    <xf numFmtId="2" fontId="8" fillId="4" borderId="1" xfId="0" applyNumberFormat="1" applyFont="1" applyFill="1" applyBorder="1" applyAlignment="1">
      <alignment horizontal="center" vertical="center" wrapText="1"/>
    </xf>
    <xf numFmtId="2" fontId="8" fillId="5" borderId="1" xfId="0" applyNumberFormat="1" applyFont="1" applyFill="1" applyBorder="1" applyAlignment="1">
      <alignment horizontal="center" vertical="center" wrapText="1"/>
    </xf>
    <xf numFmtId="1" fontId="8" fillId="4" borderId="1" xfId="0" applyNumberFormat="1" applyFont="1" applyFill="1" applyBorder="1" applyAlignment="1">
      <alignment horizontal="center" vertical="center" wrapText="1"/>
    </xf>
    <xf numFmtId="1" fontId="8" fillId="5" borderId="1" xfId="0" applyNumberFormat="1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10" fillId="4" borderId="1" xfId="0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5" fontId="10" fillId="4" borderId="1" xfId="0" applyNumberFormat="1" applyFont="1" applyFill="1" applyBorder="1" applyAlignment="1">
      <alignment horizontal="center" vertical="center" wrapText="1"/>
    </xf>
    <xf numFmtId="165" fontId="10" fillId="5" borderId="1" xfId="0" applyNumberFormat="1" applyFont="1" applyFill="1" applyBorder="1" applyAlignment="1">
      <alignment horizontal="center" vertical="center" wrapText="1"/>
    </xf>
    <xf numFmtId="0" fontId="12" fillId="4" borderId="1" xfId="0" applyFont="1" applyFill="1" applyBorder="1" applyAlignment="1">
      <alignment horizontal="left" vertical="center"/>
    </xf>
    <xf numFmtId="0" fontId="8" fillId="4" borderId="1" xfId="0" applyFont="1" applyFill="1" applyBorder="1" applyAlignment="1">
      <alignment horizontal="center" vertical="center" wrapText="1"/>
    </xf>
    <xf numFmtId="0" fontId="12" fillId="5" borderId="1" xfId="0" applyFont="1" applyFill="1" applyBorder="1" applyAlignment="1">
      <alignment horizontal="left" vertical="center"/>
    </xf>
    <xf numFmtId="0" fontId="8" fillId="5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left" vertical="center"/>
    </xf>
    <xf numFmtId="0" fontId="14" fillId="5" borderId="1" xfId="0" applyFont="1" applyFill="1" applyBorder="1" applyAlignment="1">
      <alignment horizontal="left" vertical="center"/>
    </xf>
    <xf numFmtId="0" fontId="0" fillId="0" borderId="0" xfId="0"/>
    <xf numFmtId="0" fontId="2" fillId="3" borderId="0" xfId="0" applyFont="1" applyFill="1" applyBorder="1" applyAlignment="1">
      <alignment horizontal="center" vertical="center" wrapText="1"/>
    </xf>
    <xf numFmtId="0" fontId="3" fillId="4" borderId="0" xfId="0" applyFont="1" applyFill="1" applyBorder="1" applyAlignment="1">
      <alignment horizontal="center" vertical="center" wrapText="1"/>
    </xf>
    <xf numFmtId="0" fontId="3" fillId="5" borderId="0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164" fontId="3" fillId="4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164" fontId="3" fillId="5" borderId="1" xfId="0" applyNumberFormat="1" applyFont="1" applyFill="1" applyBorder="1" applyAlignment="1">
      <alignment horizontal="center" vertical="center"/>
    </xf>
    <xf numFmtId="165" fontId="3" fillId="5" borderId="1" xfId="0" applyNumberFormat="1" applyFont="1" applyFill="1" applyBorder="1" applyAlignment="1">
      <alignment horizontal="center" vertical="center"/>
    </xf>
    <xf numFmtId="0" fontId="2" fillId="3" borderId="0" xfId="0" applyFont="1" applyFill="1" applyBorder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3" fillId="5" borderId="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 wrapText="1"/>
    </xf>
    <xf numFmtId="0" fontId="0" fillId="0" borderId="0" xfId="0"/>
    <xf numFmtId="0" fontId="5" fillId="3" borderId="0" xfId="0" applyFont="1" applyFill="1" applyAlignment="1">
      <alignment horizontal="center" vertical="center" wrapText="1"/>
    </xf>
    <xf numFmtId="0" fontId="5" fillId="6" borderId="0" xfId="0" applyFont="1" applyFill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11" fillId="8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13" fillId="3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left" vertical="center"/>
    </xf>
    <xf numFmtId="0" fontId="15" fillId="5" borderId="1" xfId="0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left" vertical="center"/>
    </xf>
  </cellXfs>
  <cellStyles count="1">
    <cellStyle name="Normal" xfId="0" builtinId="0"/>
  </cellStyles>
  <dxfs count="2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D6E4F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D6E4F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\₹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\₹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\₹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\₹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\₹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\₹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5" formatCode="\₹#,##0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numFmt numFmtId="164" formatCode="dd\-mmm\-yyyy"/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left" vertical="center" textRotation="0" wrapText="0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scheme val="none"/>
      </font>
      <fill>
        <patternFill patternType="solid">
          <fgColor indexed="64"/>
          <bgColor rgb="FFFFFFFF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CCCCCC"/>
        </left>
        <right style="thin">
          <color rgb="FFCCCCCC"/>
        </right>
        <top style="thin">
          <color rgb="FFCCCCCC"/>
        </top>
        <bottom style="thin">
          <color rgb="FFCCCCCC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7A25118-D103-405E-AAB9-E7BFB36CD074}" name="Table1" displayName="Table1" ref="A1:AS32" totalsRowShown="0">
  <autoFilter ref="A1:AS32" xr:uid="{E46B1958-BF20-4566-BDBE-AE23A3686A53}"/>
  <tableColumns count="45">
    <tableColumn id="1" xr3:uid="{2D49ECDF-B237-4281-BEF3-3935CC2A6A94}" name="🏢  EMPLOYEE MASTER DATABASE – 2024" dataDxfId="27"/>
    <tableColumn id="2" xr3:uid="{42A545C5-9C8B-4C48-A677-8C6642D877EB}" name="Column1" dataDxfId="26"/>
    <tableColumn id="3" xr3:uid="{8B40479E-6314-40AA-8E08-13110BA21935}" name="Column2" dataDxfId="25"/>
    <tableColumn id="45" xr3:uid="{A771FC46-1213-44A9-881D-E52083ACAFC5}" name="Column210" dataDxfId="0"/>
    <tableColumn id="4" xr3:uid="{06748566-A9BC-4171-BCE0-F73819163B3A}" name="Column3" dataDxfId="24"/>
    <tableColumn id="5" xr3:uid="{808EE4A1-F7A6-437B-A2BA-E62094D10C06}" name="Column4" dataDxfId="23">
      <calculatedColumnFormula>LOWER(G2)</calculatedColumnFormula>
    </tableColumn>
    <tableColumn id="6" xr3:uid="{EEAB82D9-A446-4CF1-8CE1-65E50ABD81DD}" name="Column5" dataDxfId="22"/>
    <tableColumn id="7" xr3:uid="{A1BD9B12-B756-42B0-9CA7-FD5F4DEA46F7}" name="Column6" dataDxfId="21"/>
    <tableColumn id="8" xr3:uid="{E231DD0A-F2CF-4E4F-A5FB-5B3E515C5FD4}" name="Column7" dataDxfId="20"/>
    <tableColumn id="9" xr3:uid="{E5D01738-4AF5-45B2-BC9A-0F2454B7DED8}" name="Column8" dataDxfId="19"/>
    <tableColumn id="10" xr3:uid="{E9D3B85B-7781-4047-A729-F5A60F0702A8}" name="Column9" dataDxfId="18">
      <calculatedColumnFormula>DATEDIF(J2,TODAY(),"Y")</calculatedColumnFormula>
    </tableColumn>
    <tableColumn id="11" xr3:uid="{D9FF9DF5-CAA9-4933-9AC4-045063651E86}" name="Column10" dataDxfId="17"/>
    <tableColumn id="12" xr3:uid="{0138A4FA-0EFA-4D5C-80B5-2403B373229C}" name="Column11" dataDxfId="16"/>
    <tableColumn id="13" xr3:uid="{1ADA02E6-8F53-4585-AB00-14F433E258F9}" name="Column12" dataDxfId="15"/>
    <tableColumn id="14" xr3:uid="{C3419CBA-AA7E-4C41-85A9-691462454C62}" name="Column13" dataDxfId="14">
      <calculatedColumnFormula>M2*0.2</calculatedColumnFormula>
    </tableColumn>
    <tableColumn id="15" xr3:uid="{4BA43501-CA8F-4062-BAE5-51F6BB606E23}" name="Column14" dataDxfId="13">
      <calculatedColumnFormula>M2+N2+O2</calculatedColumnFormula>
    </tableColumn>
    <tableColumn id="16" xr3:uid="{BB86A657-44B2-4D30-B865-2B7118E1A625}" name="Column15" dataDxfId="12">
      <calculatedColumnFormula>P2*0.1</calculatedColumnFormula>
    </tableColumn>
    <tableColumn id="17" xr3:uid="{291E2AB6-E9B6-4FDE-9791-A8CC5B365806}" name="Column16" dataDxfId="11">
      <calculatedColumnFormula>P2-Q2</calculatedColumnFormula>
    </tableColumn>
    <tableColumn id="18" xr3:uid="{6646F564-B62C-45B8-88C9-75B8E630E81B}" name="Column17" dataDxfId="10"/>
    <tableColumn id="19" xr3:uid="{F3DF1E9D-F5FB-434B-9DFB-F95DF6819050}" name="Column18" dataDxfId="9"/>
    <tableColumn id="20" xr3:uid="{5EB1F538-29CC-4BA8-9658-B0D230C184FD}" name="Column19" dataDxfId="8">
      <calculatedColumnFormula>IF(T2&gt;=4,P2*0.05,P2*0.02)</calculatedColumnFormula>
    </tableColumn>
    <tableColumn id="21" xr3:uid="{AD7BEDE8-A789-4E7A-AB92-84060F18EE6D}" name="Column20" dataDxfId="7">
      <calculatedColumnFormula>LOWER(LEFT(B2,FIND(" ",B2)-1))&amp;"."&amp;LOWER(MID(B2,FIND(" ",B2)+1,100))&amp;"@company.com"</calculatedColumnFormula>
    </tableColumn>
    <tableColumn id="22" xr3:uid="{B24CEAC8-2698-4626-8989-42F43B4AAA0F}" name="Column21" dataDxfId="6"/>
    <tableColumn id="23" xr3:uid="{E9D69F05-6D94-41A2-85F6-0C47983150E2}" name="Column22" dataDxfId="5">
      <calculatedColumnFormula>TEXT(J2,"MMM-YYYY")</calculatedColumnFormula>
    </tableColumn>
    <tableColumn id="24" xr3:uid="{A8713293-7609-4045-8FB7-E27FA565D746}" name="Column23" dataDxfId="4">
      <calculatedColumnFormula>IF(M2&gt;=100000,"Executive",IF(M2&gt;=80000,"Senior",IF(M2&gt;=60000,"Mid-Level","Junior")))</calculatedColumnFormula>
    </tableColumn>
    <tableColumn id="25" xr3:uid="{6CD50333-8638-474E-9B73-D6F53B4CA24A}" name="Column24" dataDxfId="3">
      <calculatedColumnFormula>UPPER(B2)</calculatedColumnFormula>
    </tableColumn>
    <tableColumn id="26" xr3:uid="{7F83AA2E-EF14-4245-9F34-92CFED8A51B3}" name="Column25" dataDxfId="2">
      <calculatedColumnFormula>LOWER(V2)</calculatedColumnFormula>
    </tableColumn>
    <tableColumn id="27" xr3:uid="{C421D3A8-D4E8-4366-A51A-7DD5B7B4FF92}" name="Column26" dataDxfId="1">
      <calculatedColumnFormula>PROPER(G2)</calculatedColumnFormula>
    </tableColumn>
    <tableColumn id="28" xr3:uid="{09780524-AF0E-4BD6-8919-11297FB36196}" name="Column27">
      <calculatedColumnFormula>BAHTTEXT(T2)</calculatedColumnFormula>
    </tableColumn>
    <tableColumn id="29" xr3:uid="{F7C47BDA-B008-485E-826E-A513D8E516B5}" name="Column28">
      <calculatedColumnFormula>LEFT(B2,1)</calculatedColumnFormula>
    </tableColumn>
    <tableColumn id="30" xr3:uid="{E26F9DFA-3FC9-4102-9B9B-09E1166F6088}" name="Column29">
      <calculatedColumnFormula>CODE(AD2)</calculatedColumnFormula>
    </tableColumn>
    <tableColumn id="31" xr3:uid="{EB324A57-DD3D-4B31-8C5B-0FE4C4DB4790}" name="Column30">
      <calculatedColumnFormula>CHAR(AE2)</calculatedColumnFormula>
    </tableColumn>
    <tableColumn id="32" xr3:uid="{0351BAE6-D8E8-4EA6-B62D-B804CC79FE43}" name="Column31"/>
    <tableColumn id="33" xr3:uid="{54F6FA63-1A79-4649-933C-6D49D5268D8A}" name="Column32"/>
    <tableColumn id="34" xr3:uid="{1381F054-26A2-48D9-807D-5EB56CFE94DF}" name="Column33">
      <calculatedColumnFormula>DOLLAR(AE2)</calculatedColumnFormula>
    </tableColumn>
    <tableColumn id="35" xr3:uid="{EBFE39BD-DE82-4DDE-AA03-99495D81FF14}" name="Column34">
      <calculatedColumnFormula>EXACT(AB2,G2)</calculatedColumnFormula>
    </tableColumn>
    <tableColumn id="36" xr3:uid="{949C0A4C-B36B-432A-8B74-9C1F54187767}" name="Column35">
      <calculatedColumnFormula>_xlfn.CONCAT(B2," :",G2)</calculatedColumnFormula>
    </tableColumn>
    <tableColumn id="37" xr3:uid="{C13FC73C-E1AD-425A-984C-BBB7CF0F3D1F}" name="Column36">
      <calculatedColumnFormula>LEN(S2)</calculatedColumnFormula>
    </tableColumn>
    <tableColumn id="38" xr3:uid="{B63CADA5-1E0C-4B64-9A38-7AE661FF0042}" name="Column37">
      <calculatedColumnFormula>_xlfn.CONCAT(K2,"EXP")</calculatedColumnFormula>
    </tableColumn>
    <tableColumn id="39" xr3:uid="{3D85C7F4-71FD-443E-86A8-7627FFFECB5C}" name="Column38">
      <calculatedColumnFormula>_xlfn.NUMBERVALUE(LEFT(AM2,1))</calculatedColumnFormula>
    </tableColumn>
    <tableColumn id="40" xr3:uid="{2E3E5FA9-2642-4F5B-B669-A751825C0A9C}" name="Column39">
      <calculatedColumnFormula>REPLACE(AM2,2,3,"Exprience")</calculatedColumnFormula>
    </tableColumn>
    <tableColumn id="41" xr3:uid="{830D972D-3405-4F1B-BDA1-CC09BE515BE3}" name="Column40"/>
    <tableColumn id="42" xr3:uid="{EF444AAF-53CC-4CD5-AEA3-C38D0490E5FA}" name="Column41">
      <calculatedColumnFormula>RIGHT(AM2,3)</calculatedColumnFormula>
    </tableColumn>
    <tableColumn id="43" xr3:uid="{0CBC27C8-722F-45B9-9E65-2AFA8F589EA1}" name="Column42"/>
    <tableColumn id="44" xr3:uid="{D02EC0FA-3BF7-45DD-9AEB-58241FF02AC0}" name="Column43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32"/>
  <sheetViews>
    <sheetView showGridLines="0" tabSelected="1" zoomScale="130" zoomScaleNormal="130" workbookViewId="0">
      <pane ySplit="2" topLeftCell="A18" activePane="bottomLeft" state="frozen"/>
      <selection pane="bottomLeft" activeCell="H18" sqref="H18:H33"/>
    </sheetView>
  </sheetViews>
  <sheetFormatPr defaultRowHeight="15" x14ac:dyDescent="0.25"/>
  <cols>
    <col min="1" max="1" width="56.42578125" customWidth="1"/>
    <col min="2" max="2" width="22" customWidth="1"/>
    <col min="3" max="3" width="22" style="39" customWidth="1"/>
    <col min="4" max="4" width="13.140625" style="39" customWidth="1"/>
    <col min="5" max="6" width="16" customWidth="1"/>
    <col min="7" max="7" width="20" customWidth="1"/>
    <col min="8" max="9" width="10.140625" customWidth="1"/>
    <col min="10" max="10" width="14" customWidth="1"/>
    <col min="11" max="11" width="16" customWidth="1"/>
    <col min="12" max="13" width="14" customWidth="1"/>
    <col min="14" max="14" width="12" customWidth="1"/>
    <col min="15" max="16" width="14" customWidth="1"/>
    <col min="17" max="17" width="12" customWidth="1"/>
    <col min="18" max="19" width="14" customWidth="1"/>
    <col min="20" max="20" width="13" customWidth="1"/>
    <col min="21" max="21" width="12" customWidth="1"/>
    <col min="22" max="22" width="30" customWidth="1"/>
    <col min="23" max="23" width="16" customWidth="1"/>
    <col min="24" max="26" width="14" customWidth="1"/>
    <col min="27" max="27" width="29.5703125" customWidth="1"/>
    <col min="28" max="28" width="15.85546875" customWidth="1"/>
    <col min="29" max="29" width="12" customWidth="1"/>
    <col min="30" max="36" width="11.140625" customWidth="1"/>
    <col min="37" max="37" width="35.7109375" customWidth="1"/>
    <col min="38" max="40" width="11.140625" customWidth="1"/>
    <col min="41" max="41" width="11.85546875" bestFit="1" customWidth="1"/>
    <col min="42" max="45" width="11.140625" customWidth="1"/>
  </cols>
  <sheetData>
    <row r="1" spans="1:45" ht="36" customHeight="1" x14ac:dyDescent="0.25">
      <c r="A1" s="38" t="s">
        <v>0</v>
      </c>
      <c r="B1" s="39" t="s">
        <v>324</v>
      </c>
      <c r="C1" s="39" t="s">
        <v>325</v>
      </c>
      <c r="D1" s="39" t="s">
        <v>383</v>
      </c>
      <c r="E1" s="39" t="s">
        <v>326</v>
      </c>
      <c r="F1" s="39" t="s">
        <v>327</v>
      </c>
      <c r="G1" s="39" t="s">
        <v>328</v>
      </c>
      <c r="H1" s="39" t="s">
        <v>329</v>
      </c>
      <c r="I1" s="39" t="s">
        <v>330</v>
      </c>
      <c r="J1" s="39" t="s">
        <v>331</v>
      </c>
      <c r="K1" s="39" t="s">
        <v>332</v>
      </c>
      <c r="L1" s="39" t="s">
        <v>333</v>
      </c>
      <c r="M1" s="39" t="s">
        <v>334</v>
      </c>
      <c r="N1" s="39" t="s">
        <v>335</v>
      </c>
      <c r="O1" s="39" t="s">
        <v>336</v>
      </c>
      <c r="P1" s="39" t="s">
        <v>337</v>
      </c>
      <c r="Q1" s="39" t="s">
        <v>338</v>
      </c>
      <c r="R1" s="39" t="s">
        <v>339</v>
      </c>
      <c r="S1" s="39" t="s">
        <v>340</v>
      </c>
      <c r="T1" s="39" t="s">
        <v>341</v>
      </c>
      <c r="U1" s="39" t="s">
        <v>342</v>
      </c>
      <c r="V1" s="39" t="s">
        <v>343</v>
      </c>
      <c r="W1" s="39" t="s">
        <v>344</v>
      </c>
      <c r="X1" s="39" t="s">
        <v>345</v>
      </c>
      <c r="Y1" s="39" t="s">
        <v>346</v>
      </c>
      <c r="Z1" s="39" t="s">
        <v>347</v>
      </c>
      <c r="AA1" s="39" t="s">
        <v>348</v>
      </c>
      <c r="AB1" s="39" t="s">
        <v>349</v>
      </c>
      <c r="AC1" s="39" t="s">
        <v>350</v>
      </c>
      <c r="AD1" s="39" t="s">
        <v>351</v>
      </c>
      <c r="AE1" s="39" t="s">
        <v>352</v>
      </c>
      <c r="AF1" s="39" t="s">
        <v>353</v>
      </c>
      <c r="AG1" s="39" t="s">
        <v>354</v>
      </c>
      <c r="AH1" s="39" t="s">
        <v>355</v>
      </c>
      <c r="AI1" s="39" t="s">
        <v>356</v>
      </c>
      <c r="AJ1" s="39" t="s">
        <v>357</v>
      </c>
      <c r="AK1" s="39" t="s">
        <v>358</v>
      </c>
      <c r="AL1" s="39" t="s">
        <v>359</v>
      </c>
      <c r="AM1" s="39" t="s">
        <v>360</v>
      </c>
      <c r="AN1" s="39" t="s">
        <v>361</v>
      </c>
      <c r="AO1" s="39" t="s">
        <v>362</v>
      </c>
      <c r="AP1" s="39" t="s">
        <v>363</v>
      </c>
      <c r="AQ1" s="39" t="s">
        <v>364</v>
      </c>
      <c r="AR1" s="39" t="s">
        <v>365</v>
      </c>
      <c r="AS1" s="39" t="s">
        <v>366</v>
      </c>
    </row>
    <row r="2" spans="1:45" ht="27.95" customHeight="1" x14ac:dyDescent="0.25">
      <c r="A2" s="1" t="s">
        <v>1</v>
      </c>
      <c r="B2" s="1" t="s">
        <v>2</v>
      </c>
      <c r="C2" s="62" t="s">
        <v>382</v>
      </c>
      <c r="D2" s="62" t="s">
        <v>414</v>
      </c>
      <c r="E2" s="1" t="s">
        <v>3</v>
      </c>
      <c r="F2" s="1"/>
      <c r="G2" s="1" t="s">
        <v>4</v>
      </c>
      <c r="H2" s="1" t="s">
        <v>5</v>
      </c>
      <c r="I2" s="1" t="s">
        <v>6</v>
      </c>
      <c r="J2" s="1" t="s">
        <v>7</v>
      </c>
      <c r="K2" s="1" t="s">
        <v>8</v>
      </c>
      <c r="L2" s="1" t="s">
        <v>9</v>
      </c>
      <c r="M2" s="1" t="s">
        <v>10</v>
      </c>
      <c r="N2" s="1" t="s">
        <v>11</v>
      </c>
      <c r="O2" s="1" t="s">
        <v>12</v>
      </c>
      <c r="P2" s="1" t="s">
        <v>13</v>
      </c>
      <c r="Q2" s="1" t="s">
        <v>14</v>
      </c>
      <c r="R2" s="1" t="s">
        <v>15</v>
      </c>
      <c r="S2" s="1" t="s">
        <v>16</v>
      </c>
      <c r="T2" s="1" t="s">
        <v>17</v>
      </c>
      <c r="U2" s="1" t="s">
        <v>18</v>
      </c>
      <c r="V2" s="1" t="s">
        <v>19</v>
      </c>
      <c r="W2" s="1" t="s">
        <v>20</v>
      </c>
      <c r="X2" s="1" t="s">
        <v>21</v>
      </c>
      <c r="Y2" s="1" t="s">
        <v>22</v>
      </c>
      <c r="Z2" s="32" t="s">
        <v>301</v>
      </c>
      <c r="AA2" s="32" t="s">
        <v>19</v>
      </c>
      <c r="AB2" s="32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  <c r="AQ2" s="39"/>
      <c r="AR2" s="39"/>
      <c r="AS2" s="39"/>
    </row>
    <row r="3" spans="1:45" ht="72.75" customHeight="1" x14ac:dyDescent="0.25">
      <c r="A3" s="2" t="s">
        <v>23</v>
      </c>
      <c r="B3" s="3" t="s">
        <v>24</v>
      </c>
      <c r="C3" s="3" t="s">
        <v>367</v>
      </c>
      <c r="D3" s="60" t="s">
        <v>399</v>
      </c>
      <c r="E3" s="2" t="s">
        <v>25</v>
      </c>
      <c r="F3" s="6" t="str">
        <f t="shared" ref="F3:F17" si="0">LOWER(G3)</f>
        <v xml:space="preserve">
software engineer</v>
      </c>
      <c r="G3" s="35" t="s">
        <v>303</v>
      </c>
      <c r="H3" s="2" t="s">
        <v>26</v>
      </c>
      <c r="I3" s="2">
        <v>28</v>
      </c>
      <c r="J3" s="4" t="s">
        <v>27</v>
      </c>
      <c r="K3" s="2">
        <f t="shared" ref="K3:K32" ca="1" si="1">DATEDIF(J3,TODAY(),"Y")</f>
        <v>7</v>
      </c>
      <c r="L3" s="2" t="s">
        <v>28</v>
      </c>
      <c r="M3" s="5">
        <v>65000</v>
      </c>
      <c r="N3" s="5">
        <v>26000</v>
      </c>
      <c r="O3" s="5">
        <f t="shared" ref="O3:O32" si="2">M3*0.2</f>
        <v>13000</v>
      </c>
      <c r="P3" s="5">
        <f t="shared" ref="P3:P32" si="3">M3+N3+O3</f>
        <v>104000</v>
      </c>
      <c r="Q3" s="5">
        <f t="shared" ref="Q3:Q32" si="4">P3*0.1</f>
        <v>10400</v>
      </c>
      <c r="R3" s="5">
        <f t="shared" ref="R3:R32" si="5">P3-Q3</f>
        <v>93600</v>
      </c>
      <c r="S3" s="2" t="s">
        <v>29</v>
      </c>
      <c r="T3" s="2">
        <v>4</v>
      </c>
      <c r="U3" s="5">
        <f t="shared" ref="U3:U32" si="6">IF(T3&gt;=4,P3*0.05,P3*0.02)</f>
        <v>5200</v>
      </c>
      <c r="V3" s="3" t="str">
        <f t="shared" ref="V3:V32" si="7">LOWER(LEFT(B3,FIND(" ",B3)-1))&amp;"."&amp;LOWER(MID(B3,FIND(" ",B3)+1,100))&amp;"@company.com"</f>
        <v>aarav.sharma@company.com</v>
      </c>
      <c r="W3" s="2" t="s">
        <v>30</v>
      </c>
      <c r="X3" s="2" t="str">
        <f t="shared" ref="X3:X32" si="8">TEXT(J3,"MMM-YYYY")</f>
        <v>Mar-2019</v>
      </c>
      <c r="Y3" s="2" t="str">
        <f t="shared" ref="Y3:Y32" si="9">IF(M3&gt;=100000,"Executive",IF(M3&gt;=80000,"Senior",IF(M3&gt;=60000,"Mid-Level","Junior")))</f>
        <v>Mid-Level</v>
      </c>
      <c r="Z3" s="33" t="str">
        <f>UPPER(B3)</f>
        <v>AARAV SHARMA</v>
      </c>
      <c r="AA3" s="33" t="str">
        <f>LOWER(V3)</f>
        <v>aarav.sharma@company.com</v>
      </c>
      <c r="AB3" s="34" t="str">
        <f t="shared" ref="AB3:AB17" si="10">PROPER(G3)</f>
        <v xml:space="preserve">
Software Engineer</v>
      </c>
      <c r="AC3" s="39" t="str">
        <f>BAHTTEXT(T3)</f>
        <v>สี่บาทถ้วน</v>
      </c>
      <c r="AD3" s="39" t="str">
        <f>LEFT(B3,1)</f>
        <v>A</v>
      </c>
      <c r="AE3" s="39">
        <f>CODE(AD3)</f>
        <v>65</v>
      </c>
      <c r="AF3" s="39" t="str">
        <f>CHAR(AE3)</f>
        <v>A</v>
      </c>
      <c r="AG3" s="36" t="s">
        <v>302</v>
      </c>
      <c r="AH3" s="39" t="str">
        <f>CLEAN(AG3)</f>
        <v>Hello Red &amp; White Skill Education</v>
      </c>
      <c r="AI3" s="39" t="str">
        <f>DOLLAR(AE3)</f>
        <v>₹ 65.00</v>
      </c>
      <c r="AJ3" s="39" t="b">
        <f>EXACT(AB3,G3)</f>
        <v>0</v>
      </c>
      <c r="AK3" s="39" t="str">
        <f>_xlfn.CONCAT(B3," :",G3)</f>
        <v>Aarav Sharma :
software Engineer</v>
      </c>
      <c r="AL3" s="39">
        <f>LEN(S3)</f>
        <v>9</v>
      </c>
      <c r="AM3" s="39" t="str">
        <f ca="1">_xlfn.CONCAT(K3,"EXP")</f>
        <v>7EXP</v>
      </c>
      <c r="AN3" s="39">
        <f ca="1">_xlfn.NUMBERVALUE(LEFT(AM3,1))</f>
        <v>7</v>
      </c>
      <c r="AO3" s="39" t="str">
        <f ca="1">REPLACE(AM3,2,3,"Exprience")</f>
        <v>7Exprience</v>
      </c>
      <c r="AP3" s="39" t="str">
        <f ca="1">REPT(AM3,5)</f>
        <v>7EXP7EXP7EXP7EXP7EXP</v>
      </c>
      <c r="AQ3" s="39" t="str">
        <f ca="1">RIGHT(AM3,3)</f>
        <v>EXP</v>
      </c>
      <c r="AR3" s="39" t="str">
        <f ca="1">SUBSTITUTE(AM3,"Experience",1)</f>
        <v>7EXP</v>
      </c>
      <c r="AS3" s="39" t="str">
        <f ca="1">T(AO3)</f>
        <v>7Exprience</v>
      </c>
    </row>
    <row r="4" spans="1:45" x14ac:dyDescent="0.25">
      <c r="A4" s="6" t="s">
        <v>31</v>
      </c>
      <c r="B4" s="7" t="s">
        <v>32</v>
      </c>
      <c r="C4" s="7" t="s">
        <v>368</v>
      </c>
      <c r="D4" s="61" t="s">
        <v>400</v>
      </c>
      <c r="E4" s="6" t="s">
        <v>33</v>
      </c>
      <c r="F4" s="6" t="str">
        <f t="shared" si="0"/>
        <v>hr manager</v>
      </c>
      <c r="G4" s="7" t="s">
        <v>34</v>
      </c>
      <c r="H4" s="6" t="s">
        <v>35</v>
      </c>
      <c r="I4" s="6">
        <v>35</v>
      </c>
      <c r="J4" s="8" t="s">
        <v>36</v>
      </c>
      <c r="K4" s="6">
        <f t="shared" ca="1" si="1"/>
        <v>8</v>
      </c>
      <c r="L4" s="6" t="s">
        <v>37</v>
      </c>
      <c r="M4" s="9">
        <v>72000</v>
      </c>
      <c r="N4" s="9">
        <v>28800</v>
      </c>
      <c r="O4" s="9">
        <f t="shared" si="2"/>
        <v>14400</v>
      </c>
      <c r="P4" s="9">
        <f t="shared" si="3"/>
        <v>115200</v>
      </c>
      <c r="Q4" s="9">
        <f t="shared" si="4"/>
        <v>11520</v>
      </c>
      <c r="R4" s="9">
        <f t="shared" si="5"/>
        <v>103680</v>
      </c>
      <c r="S4" s="6" t="s">
        <v>38</v>
      </c>
      <c r="T4" s="6">
        <v>3</v>
      </c>
      <c r="U4" s="9">
        <f t="shared" si="6"/>
        <v>2304</v>
      </c>
      <c r="V4" s="7" t="str">
        <f t="shared" si="7"/>
        <v>priya.patel@company.com</v>
      </c>
      <c r="W4" s="6" t="s">
        <v>39</v>
      </c>
      <c r="X4" s="6" t="str">
        <f t="shared" si="8"/>
        <v>Jun-2017</v>
      </c>
      <c r="Y4" s="6" t="str">
        <f t="shared" si="9"/>
        <v>Mid-Level</v>
      </c>
      <c r="Z4" s="33" t="str">
        <f t="shared" ref="Z4:Z32" si="11">UPPER(B4)</f>
        <v>PRIYA PATEL</v>
      </c>
      <c r="AA4" s="33" t="str">
        <f t="shared" ref="AA4:AA32" si="12">LOWER(V4)</f>
        <v>priya.patel@company.com</v>
      </c>
      <c r="AB4" s="34" t="str">
        <f t="shared" si="10"/>
        <v>Hr Manager</v>
      </c>
      <c r="AC4" s="39" t="str">
        <f t="shared" ref="AC4:AC32" si="13">BAHTTEXT(T4)</f>
        <v>สามบาทถ้วน</v>
      </c>
      <c r="AD4" s="39" t="str">
        <f t="shared" ref="AD4:AD32" si="14">LEFT(B4,1)</f>
        <v>P</v>
      </c>
      <c r="AE4" s="39">
        <f t="shared" ref="AE4:AE32" si="15">CODE(AD4)</f>
        <v>80</v>
      </c>
      <c r="AF4" s="39" t="str">
        <f t="shared" ref="AF4:AF32" si="16">CHAR(AE4)</f>
        <v>P</v>
      </c>
      <c r="AG4" s="39"/>
      <c r="AH4" s="39"/>
      <c r="AI4" s="39" t="str">
        <f t="shared" ref="AI4:AI32" si="17">DOLLAR(AE4)</f>
        <v>₹ 80.00</v>
      </c>
      <c r="AJ4" s="39" t="b">
        <f t="shared" ref="AJ4:AJ32" si="18">EXACT(AB4,G4)</f>
        <v>0</v>
      </c>
      <c r="AK4" s="39" t="str">
        <f t="shared" ref="AK4:AK32" si="19">_xlfn.CONCAT(B4," :",G4)</f>
        <v>Priya Patel :HR Manager</v>
      </c>
      <c r="AL4" s="39">
        <f t="shared" ref="AL4:AL32" si="20">LEN(S4)</f>
        <v>4</v>
      </c>
      <c r="AM4" s="39" t="str">
        <f t="shared" ref="AM4:AM32" ca="1" si="21">_xlfn.CONCAT(K4,"EXP")</f>
        <v>8EXP</v>
      </c>
      <c r="AN4" s="39">
        <f t="shared" ref="AN4:AN32" ca="1" si="22">_xlfn.NUMBERVALUE(LEFT(AM4,1))</f>
        <v>8</v>
      </c>
      <c r="AO4" s="39" t="str">
        <f t="shared" ref="AO4:AO32" ca="1" si="23">REPLACE(AM4,2,3,"Exprience")</f>
        <v>8Exprience</v>
      </c>
      <c r="AP4" s="39"/>
      <c r="AQ4" s="39" t="str">
        <f t="shared" ref="AQ4:AQ32" ca="1" si="24">RIGHT(AM4,3)</f>
        <v>EXP</v>
      </c>
      <c r="AR4" s="39"/>
      <c r="AS4" s="39" t="str">
        <f>T(AL4)</f>
        <v/>
      </c>
    </row>
    <row r="5" spans="1:45" x14ac:dyDescent="0.25">
      <c r="A5" s="2" t="s">
        <v>40</v>
      </c>
      <c r="B5" s="3" t="s">
        <v>41</v>
      </c>
      <c r="C5" s="3" t="s">
        <v>369</v>
      </c>
      <c r="D5" s="60" t="s">
        <v>401</v>
      </c>
      <c r="E5" s="2" t="s">
        <v>42</v>
      </c>
      <c r="F5" s="6" t="str">
        <f t="shared" si="0"/>
        <v>financial analyst</v>
      </c>
      <c r="G5" s="3" t="s">
        <v>43</v>
      </c>
      <c r="H5" s="2" t="s">
        <v>26</v>
      </c>
      <c r="I5" s="2">
        <v>32</v>
      </c>
      <c r="J5" s="4" t="s">
        <v>44</v>
      </c>
      <c r="K5" s="2">
        <f t="shared" ca="1" si="1"/>
        <v>7</v>
      </c>
      <c r="L5" s="2" t="s">
        <v>45</v>
      </c>
      <c r="M5" s="5">
        <v>68000</v>
      </c>
      <c r="N5" s="5">
        <v>27200</v>
      </c>
      <c r="O5" s="5">
        <f t="shared" si="2"/>
        <v>13600</v>
      </c>
      <c r="P5" s="5">
        <f t="shared" si="3"/>
        <v>108800</v>
      </c>
      <c r="Q5" s="5">
        <f t="shared" si="4"/>
        <v>10880</v>
      </c>
      <c r="R5" s="5">
        <f t="shared" si="5"/>
        <v>97920</v>
      </c>
      <c r="S5" s="2" t="s">
        <v>29</v>
      </c>
      <c r="T5" s="2">
        <v>5</v>
      </c>
      <c r="U5" s="5">
        <f t="shared" si="6"/>
        <v>5440</v>
      </c>
      <c r="V5" s="3" t="str">
        <f t="shared" si="7"/>
        <v>rohit.mehta@company.com</v>
      </c>
      <c r="W5" s="2" t="s">
        <v>46</v>
      </c>
      <c r="X5" s="2" t="str">
        <f t="shared" si="8"/>
        <v>Sep-2018</v>
      </c>
      <c r="Y5" s="2" t="str">
        <f t="shared" si="9"/>
        <v>Mid-Level</v>
      </c>
      <c r="Z5" s="33" t="str">
        <f t="shared" si="11"/>
        <v>ROHIT MEHTA</v>
      </c>
      <c r="AA5" s="33" t="str">
        <f t="shared" si="12"/>
        <v>rohit.mehta@company.com</v>
      </c>
      <c r="AB5" s="34" t="str">
        <f t="shared" si="10"/>
        <v>Financial Analyst</v>
      </c>
      <c r="AC5" s="39" t="str">
        <f t="shared" si="13"/>
        <v>ห้าบาทถ้วน</v>
      </c>
      <c r="AD5" s="39" t="str">
        <f t="shared" si="14"/>
        <v>R</v>
      </c>
      <c r="AE5" s="39">
        <f t="shared" si="15"/>
        <v>82</v>
      </c>
      <c r="AF5" s="39" t="str">
        <f t="shared" si="16"/>
        <v>R</v>
      </c>
      <c r="AG5" s="39"/>
      <c r="AH5" s="39"/>
      <c r="AI5" s="39" t="str">
        <f t="shared" si="17"/>
        <v>₹ 82.00</v>
      </c>
      <c r="AJ5" s="39" t="b">
        <f t="shared" si="18"/>
        <v>1</v>
      </c>
      <c r="AK5" s="39" t="str">
        <f t="shared" si="19"/>
        <v>Rohit Mehta :Financial Analyst</v>
      </c>
      <c r="AL5" s="39">
        <f t="shared" si="20"/>
        <v>9</v>
      </c>
      <c r="AM5" s="39" t="str">
        <f t="shared" ca="1" si="21"/>
        <v>7EXP</v>
      </c>
      <c r="AN5" s="39">
        <f t="shared" ca="1" si="22"/>
        <v>7</v>
      </c>
      <c r="AO5" s="39" t="str">
        <f t="shared" ca="1" si="23"/>
        <v>7Exprience</v>
      </c>
      <c r="AP5" s="39"/>
      <c r="AQ5" s="39" t="str">
        <f t="shared" ca="1" si="24"/>
        <v>EXP</v>
      </c>
      <c r="AR5" s="39"/>
      <c r="AS5" s="39"/>
    </row>
    <row r="6" spans="1:45" ht="25.5" x14ac:dyDescent="0.25">
      <c r="A6" s="6" t="s">
        <v>47</v>
      </c>
      <c r="B6" s="7" t="s">
        <v>48</v>
      </c>
      <c r="C6" s="7" t="s">
        <v>370</v>
      </c>
      <c r="D6" s="61" t="s">
        <v>402</v>
      </c>
      <c r="E6" s="6" t="s">
        <v>25</v>
      </c>
      <c r="F6" s="6" t="str">
        <f t="shared" si="0"/>
        <v>full stack developer</v>
      </c>
      <c r="G6" s="7" t="s">
        <v>49</v>
      </c>
      <c r="H6" s="6" t="s">
        <v>35</v>
      </c>
      <c r="I6" s="6">
        <v>26</v>
      </c>
      <c r="J6" s="8" t="s">
        <v>50</v>
      </c>
      <c r="K6" s="6">
        <f t="shared" ca="1" si="1"/>
        <v>5</v>
      </c>
      <c r="L6" s="6" t="s">
        <v>51</v>
      </c>
      <c r="M6" s="9">
        <v>70000</v>
      </c>
      <c r="N6" s="9">
        <v>28000</v>
      </c>
      <c r="O6" s="9">
        <f t="shared" si="2"/>
        <v>14000</v>
      </c>
      <c r="P6" s="9">
        <f t="shared" si="3"/>
        <v>112000</v>
      </c>
      <c r="Q6" s="9">
        <f t="shared" si="4"/>
        <v>11200</v>
      </c>
      <c r="R6" s="9">
        <f t="shared" si="5"/>
        <v>100800</v>
      </c>
      <c r="S6" s="6" t="s">
        <v>38</v>
      </c>
      <c r="T6" s="6">
        <v>4</v>
      </c>
      <c r="U6" s="9">
        <f t="shared" si="6"/>
        <v>5600</v>
      </c>
      <c r="V6" s="7" t="str">
        <f t="shared" si="7"/>
        <v>sneha.reddy@company.com</v>
      </c>
      <c r="W6" s="6" t="s">
        <v>52</v>
      </c>
      <c r="X6" s="6" t="str">
        <f t="shared" si="8"/>
        <v>Jan-2021</v>
      </c>
      <c r="Y6" s="6" t="str">
        <f t="shared" si="9"/>
        <v>Mid-Level</v>
      </c>
      <c r="Z6" s="33" t="str">
        <f t="shared" si="11"/>
        <v>SNEHA REDDY</v>
      </c>
      <c r="AA6" s="33" t="str">
        <f t="shared" si="12"/>
        <v>sneha.reddy@company.com</v>
      </c>
      <c r="AB6" s="34" t="str">
        <f t="shared" si="10"/>
        <v>Full Stack Developer</v>
      </c>
      <c r="AC6" s="39" t="str">
        <f t="shared" si="13"/>
        <v>สี่บาทถ้วน</v>
      </c>
      <c r="AD6" s="39" t="str">
        <f t="shared" si="14"/>
        <v>S</v>
      </c>
      <c r="AE6" s="39">
        <f t="shared" si="15"/>
        <v>83</v>
      </c>
      <c r="AF6" s="39" t="str">
        <f t="shared" si="16"/>
        <v>S</v>
      </c>
      <c r="AG6" s="39"/>
      <c r="AH6" s="39"/>
      <c r="AI6" s="39" t="str">
        <f t="shared" si="17"/>
        <v>₹ 83.00</v>
      </c>
      <c r="AJ6" s="39" t="b">
        <f t="shared" si="18"/>
        <v>1</v>
      </c>
      <c r="AK6" s="39" t="str">
        <f t="shared" si="19"/>
        <v>Sneha Reddy :Full Stack Developer</v>
      </c>
      <c r="AL6" s="37">
        <f t="shared" si="20"/>
        <v>4</v>
      </c>
      <c r="AM6" s="39" t="str">
        <f t="shared" ca="1" si="21"/>
        <v>5EXP</v>
      </c>
      <c r="AN6" s="39">
        <f t="shared" ca="1" si="22"/>
        <v>5</v>
      </c>
      <c r="AO6" s="39" t="str">
        <f t="shared" ca="1" si="23"/>
        <v>5Exprience</v>
      </c>
      <c r="AP6" s="39"/>
      <c r="AQ6" s="39" t="str">
        <f t="shared" ca="1" si="24"/>
        <v>EXP</v>
      </c>
      <c r="AR6" s="39">
        <f>VALUE(AL6)</f>
        <v>4</v>
      </c>
      <c r="AS6" s="39" t="str">
        <f>TEXT(AL6,"Hello")</f>
        <v>01900llo</v>
      </c>
    </row>
    <row r="7" spans="1:45" x14ac:dyDescent="0.25">
      <c r="A7" s="2" t="s">
        <v>53</v>
      </c>
      <c r="B7" s="3" t="s">
        <v>54</v>
      </c>
      <c r="C7" s="3" t="s">
        <v>371</v>
      </c>
      <c r="D7" s="60" t="s">
        <v>403</v>
      </c>
      <c r="E7" s="2" t="s">
        <v>55</v>
      </c>
      <c r="F7" s="6" t="str">
        <f t="shared" si="0"/>
        <v>sales executive</v>
      </c>
      <c r="G7" s="3" t="s">
        <v>56</v>
      </c>
      <c r="H7" s="2" t="s">
        <v>26</v>
      </c>
      <c r="I7" s="2">
        <v>30</v>
      </c>
      <c r="J7" s="4" t="s">
        <v>57</v>
      </c>
      <c r="K7" s="2">
        <f t="shared" ca="1" si="1"/>
        <v>5</v>
      </c>
      <c r="L7" s="2" t="s">
        <v>58</v>
      </c>
      <c r="M7" s="5">
        <v>45000</v>
      </c>
      <c r="N7" s="5">
        <v>18000</v>
      </c>
      <c r="O7" s="5">
        <f t="shared" si="2"/>
        <v>9000</v>
      </c>
      <c r="P7" s="5">
        <f t="shared" si="3"/>
        <v>72000</v>
      </c>
      <c r="Q7" s="5">
        <f t="shared" si="4"/>
        <v>7200</v>
      </c>
      <c r="R7" s="5">
        <f t="shared" si="5"/>
        <v>64800</v>
      </c>
      <c r="S7" s="2" t="s">
        <v>59</v>
      </c>
      <c r="T7" s="2">
        <v>3</v>
      </c>
      <c r="U7" s="5">
        <f t="shared" si="6"/>
        <v>1440</v>
      </c>
      <c r="V7" s="3" t="str">
        <f t="shared" si="7"/>
        <v>vikram.singh@company.com</v>
      </c>
      <c r="W7" s="2" t="s">
        <v>60</v>
      </c>
      <c r="X7" s="2" t="str">
        <f t="shared" si="8"/>
        <v>Jul-2020</v>
      </c>
      <c r="Y7" s="2" t="str">
        <f t="shared" si="9"/>
        <v>Junior</v>
      </c>
      <c r="Z7" s="33" t="str">
        <f t="shared" si="11"/>
        <v>VIKRAM SINGH</v>
      </c>
      <c r="AA7" s="33" t="str">
        <f t="shared" si="12"/>
        <v>vikram.singh@company.com</v>
      </c>
      <c r="AB7" s="34" t="str">
        <f t="shared" si="10"/>
        <v>Sales Executive</v>
      </c>
      <c r="AC7" s="39" t="str">
        <f t="shared" si="13"/>
        <v>สามบาทถ้วน</v>
      </c>
      <c r="AD7" s="39" t="str">
        <f t="shared" si="14"/>
        <v>V</v>
      </c>
      <c r="AE7" s="39">
        <f t="shared" si="15"/>
        <v>86</v>
      </c>
      <c r="AF7" s="39" t="str">
        <f t="shared" si="16"/>
        <v>V</v>
      </c>
      <c r="AG7" s="39"/>
      <c r="AH7" s="39"/>
      <c r="AI7" s="39" t="str">
        <f t="shared" si="17"/>
        <v>₹ 86.00</v>
      </c>
      <c r="AJ7" s="39" t="b">
        <f t="shared" si="18"/>
        <v>1</v>
      </c>
      <c r="AK7" s="39" t="str">
        <f t="shared" si="19"/>
        <v>Vikram Singh :Sales Executive</v>
      </c>
      <c r="AL7" s="39">
        <f t="shared" si="20"/>
        <v>7</v>
      </c>
      <c r="AM7" s="39" t="str">
        <f t="shared" ca="1" si="21"/>
        <v>5EXP</v>
      </c>
      <c r="AN7" s="39">
        <f t="shared" ca="1" si="22"/>
        <v>5</v>
      </c>
      <c r="AO7" s="39" t="str">
        <f t="shared" ca="1" si="23"/>
        <v>5Exprience</v>
      </c>
      <c r="AP7" s="39"/>
      <c r="AQ7" s="39" t="str">
        <f t="shared" ca="1" si="24"/>
        <v>EXP</v>
      </c>
      <c r="AR7" s="39"/>
      <c r="AS7" s="39"/>
    </row>
    <row r="8" spans="1:45" ht="25.5" x14ac:dyDescent="0.25">
      <c r="A8" s="6" t="s">
        <v>61</v>
      </c>
      <c r="B8" s="7" t="s">
        <v>62</v>
      </c>
      <c r="C8" s="7" t="s">
        <v>372</v>
      </c>
      <c r="D8" s="61" t="s">
        <v>404</v>
      </c>
      <c r="E8" s="6" t="s">
        <v>63</v>
      </c>
      <c r="F8" s="6" t="str">
        <f t="shared" si="0"/>
        <v>marketing manager</v>
      </c>
      <c r="G8" s="7" t="s">
        <v>64</v>
      </c>
      <c r="H8" s="6" t="s">
        <v>35</v>
      </c>
      <c r="I8" s="6">
        <v>38</v>
      </c>
      <c r="J8" s="8" t="s">
        <v>65</v>
      </c>
      <c r="K8" s="6">
        <f t="shared" ca="1" si="1"/>
        <v>10</v>
      </c>
      <c r="L8" s="6" t="s">
        <v>66</v>
      </c>
      <c r="M8" s="9">
        <v>80000</v>
      </c>
      <c r="N8" s="9">
        <v>32000</v>
      </c>
      <c r="O8" s="9">
        <f t="shared" si="2"/>
        <v>16000</v>
      </c>
      <c r="P8" s="9">
        <f t="shared" si="3"/>
        <v>128000</v>
      </c>
      <c r="Q8" s="9">
        <f t="shared" si="4"/>
        <v>12800</v>
      </c>
      <c r="R8" s="9">
        <f t="shared" si="5"/>
        <v>115200</v>
      </c>
      <c r="S8" s="6" t="s">
        <v>29</v>
      </c>
      <c r="T8" s="6">
        <v>5</v>
      </c>
      <c r="U8" s="9">
        <f t="shared" si="6"/>
        <v>6400</v>
      </c>
      <c r="V8" s="7" t="str">
        <f t="shared" si="7"/>
        <v>kavya.nair@company.com</v>
      </c>
      <c r="W8" s="6" t="s">
        <v>67</v>
      </c>
      <c r="X8" s="6" t="str">
        <f t="shared" si="8"/>
        <v>Nov-2015</v>
      </c>
      <c r="Y8" s="6" t="str">
        <f t="shared" si="9"/>
        <v>Senior</v>
      </c>
      <c r="Z8" s="33" t="str">
        <f t="shared" si="11"/>
        <v>KAVYA NAIR</v>
      </c>
      <c r="AA8" s="33" t="str">
        <f t="shared" si="12"/>
        <v>kavya.nair@company.com</v>
      </c>
      <c r="AB8" s="34" t="str">
        <f t="shared" si="10"/>
        <v>Marketing Manager</v>
      </c>
      <c r="AC8" s="39" t="str">
        <f t="shared" si="13"/>
        <v>ห้าบาทถ้วน</v>
      </c>
      <c r="AD8" s="39" t="str">
        <f t="shared" si="14"/>
        <v>K</v>
      </c>
      <c r="AE8" s="39">
        <f t="shared" si="15"/>
        <v>75</v>
      </c>
      <c r="AF8" s="39" t="str">
        <f t="shared" si="16"/>
        <v>K</v>
      </c>
      <c r="AG8" s="39"/>
      <c r="AH8" s="39"/>
      <c r="AI8" s="39" t="str">
        <f t="shared" si="17"/>
        <v>₹ 75.00</v>
      </c>
      <c r="AJ8" s="39" t="b">
        <f t="shared" si="18"/>
        <v>1</v>
      </c>
      <c r="AK8" s="39" t="str">
        <f t="shared" si="19"/>
        <v>Kavya Nair :Marketing Manager</v>
      </c>
      <c r="AL8" s="39">
        <f t="shared" si="20"/>
        <v>9</v>
      </c>
      <c r="AM8" s="39" t="str">
        <f t="shared" ca="1" si="21"/>
        <v>10EXP</v>
      </c>
      <c r="AN8" s="39">
        <f t="shared" ca="1" si="22"/>
        <v>1</v>
      </c>
      <c r="AO8" s="39" t="str">
        <f t="shared" ca="1" si="23"/>
        <v>1ExprienceP</v>
      </c>
      <c r="AP8" s="39"/>
      <c r="AQ8" s="39" t="str">
        <f t="shared" ca="1" si="24"/>
        <v>EXP</v>
      </c>
      <c r="AR8" s="39">
        <f>VALUE(AL8)</f>
        <v>9</v>
      </c>
      <c r="AS8" s="39"/>
    </row>
    <row r="9" spans="1:45" x14ac:dyDescent="0.25">
      <c r="A9" s="2" t="s">
        <v>68</v>
      </c>
      <c r="B9" s="3" t="s">
        <v>69</v>
      </c>
      <c r="C9" s="3" t="s">
        <v>373</v>
      </c>
      <c r="D9" s="60" t="s">
        <v>405</v>
      </c>
      <c r="E9" s="2" t="s">
        <v>25</v>
      </c>
      <c r="F9" s="6" t="str">
        <f t="shared" si="0"/>
        <v>data scientist</v>
      </c>
      <c r="G9" s="3" t="s">
        <v>70</v>
      </c>
      <c r="H9" s="2" t="s">
        <v>26</v>
      </c>
      <c r="I9" s="2">
        <v>29</v>
      </c>
      <c r="J9" s="4" t="s">
        <v>71</v>
      </c>
      <c r="K9" s="2">
        <f t="shared" ca="1" si="1"/>
        <v>6</v>
      </c>
      <c r="L9" s="2" t="s">
        <v>72</v>
      </c>
      <c r="M9" s="5">
        <v>90000</v>
      </c>
      <c r="N9" s="5">
        <v>36000</v>
      </c>
      <c r="O9" s="5">
        <f t="shared" si="2"/>
        <v>18000</v>
      </c>
      <c r="P9" s="5">
        <f t="shared" si="3"/>
        <v>144000</v>
      </c>
      <c r="Q9" s="5">
        <f t="shared" si="4"/>
        <v>14400</v>
      </c>
      <c r="R9" s="5">
        <f t="shared" si="5"/>
        <v>129600</v>
      </c>
      <c r="S9" s="2" t="s">
        <v>73</v>
      </c>
      <c r="T9" s="2">
        <v>5</v>
      </c>
      <c r="U9" s="5">
        <f t="shared" si="6"/>
        <v>7200</v>
      </c>
      <c r="V9" s="3" t="str">
        <f t="shared" si="7"/>
        <v>arjun.kumar@company.com</v>
      </c>
      <c r="W9" s="2" t="s">
        <v>74</v>
      </c>
      <c r="X9" s="2" t="str">
        <f t="shared" si="8"/>
        <v>Apr-2020</v>
      </c>
      <c r="Y9" s="2" t="str">
        <f t="shared" si="9"/>
        <v>Senior</v>
      </c>
      <c r="Z9" s="33" t="str">
        <f t="shared" si="11"/>
        <v>ARJUN KUMAR</v>
      </c>
      <c r="AA9" s="33" t="str">
        <f t="shared" si="12"/>
        <v>arjun.kumar@company.com</v>
      </c>
      <c r="AB9" s="34" t="str">
        <f t="shared" si="10"/>
        <v>Data Scientist</v>
      </c>
      <c r="AC9" s="39" t="str">
        <f t="shared" si="13"/>
        <v>ห้าบาทถ้วน</v>
      </c>
      <c r="AD9" s="39" t="str">
        <f t="shared" si="14"/>
        <v>A</v>
      </c>
      <c r="AE9" s="39">
        <f t="shared" si="15"/>
        <v>65</v>
      </c>
      <c r="AF9" s="39" t="str">
        <f t="shared" si="16"/>
        <v>A</v>
      </c>
      <c r="AG9" s="39"/>
      <c r="AH9" s="39"/>
      <c r="AI9" s="39" t="str">
        <f t="shared" si="17"/>
        <v>₹ 65.00</v>
      </c>
      <c r="AJ9" s="39" t="b">
        <f t="shared" si="18"/>
        <v>1</v>
      </c>
      <c r="AK9" s="39" t="str">
        <f t="shared" si="19"/>
        <v>Arjun Kumar :Data Scientist</v>
      </c>
      <c r="AL9" s="39">
        <f t="shared" si="20"/>
        <v>11</v>
      </c>
      <c r="AM9" s="39" t="str">
        <f t="shared" ca="1" si="21"/>
        <v>6EXP</v>
      </c>
      <c r="AN9" s="39">
        <f t="shared" ca="1" si="22"/>
        <v>6</v>
      </c>
      <c r="AO9" s="39" t="str">
        <f t="shared" ca="1" si="23"/>
        <v>6Exprience</v>
      </c>
      <c r="AP9" s="39"/>
      <c r="AQ9" s="39" t="str">
        <f t="shared" ca="1" si="24"/>
        <v>EXP</v>
      </c>
      <c r="AR9" s="39"/>
      <c r="AS9" s="39"/>
    </row>
    <row r="10" spans="1:45" x14ac:dyDescent="0.25">
      <c r="A10" s="6" t="s">
        <v>75</v>
      </c>
      <c r="B10" s="7" t="s">
        <v>76</v>
      </c>
      <c r="C10" s="7" t="s">
        <v>374</v>
      </c>
      <c r="D10" s="61" t="s">
        <v>406</v>
      </c>
      <c r="E10" s="6" t="s">
        <v>42</v>
      </c>
      <c r="F10" s="6" t="str">
        <f t="shared" si="0"/>
        <v>accountant</v>
      </c>
      <c r="G10" s="7" t="s">
        <v>77</v>
      </c>
      <c r="H10" s="6" t="s">
        <v>35</v>
      </c>
      <c r="I10" s="6">
        <v>27</v>
      </c>
      <c r="J10" s="8" t="s">
        <v>78</v>
      </c>
      <c r="K10" s="6">
        <f t="shared" ca="1" si="1"/>
        <v>4</v>
      </c>
      <c r="L10" s="6" t="s">
        <v>79</v>
      </c>
      <c r="M10" s="9">
        <v>55000</v>
      </c>
      <c r="N10" s="9">
        <v>22000</v>
      </c>
      <c r="O10" s="9">
        <f t="shared" si="2"/>
        <v>11000</v>
      </c>
      <c r="P10" s="9">
        <f t="shared" si="3"/>
        <v>88000</v>
      </c>
      <c r="Q10" s="9">
        <f t="shared" si="4"/>
        <v>8800</v>
      </c>
      <c r="R10" s="9">
        <f t="shared" si="5"/>
        <v>79200</v>
      </c>
      <c r="S10" s="6" t="s">
        <v>38</v>
      </c>
      <c r="T10" s="6">
        <v>3</v>
      </c>
      <c r="U10" s="9">
        <f t="shared" si="6"/>
        <v>1760</v>
      </c>
      <c r="V10" s="7" t="str">
        <f t="shared" si="7"/>
        <v>divya.verma@company.com</v>
      </c>
      <c r="W10" s="6" t="s">
        <v>80</v>
      </c>
      <c r="X10" s="6" t="str">
        <f t="shared" si="8"/>
        <v>Feb-2022</v>
      </c>
      <c r="Y10" s="6" t="str">
        <f t="shared" si="9"/>
        <v>Junior</v>
      </c>
      <c r="Z10" s="33" t="str">
        <f t="shared" si="11"/>
        <v>DIVYA VERMA</v>
      </c>
      <c r="AA10" s="33" t="str">
        <f t="shared" si="12"/>
        <v>divya.verma@company.com</v>
      </c>
      <c r="AB10" s="34" t="str">
        <f t="shared" si="10"/>
        <v>Accountant</v>
      </c>
      <c r="AC10" s="39" t="str">
        <f t="shared" si="13"/>
        <v>สามบาทถ้วน</v>
      </c>
      <c r="AD10" s="39" t="str">
        <f t="shared" si="14"/>
        <v>D</v>
      </c>
      <c r="AE10" s="39">
        <f t="shared" si="15"/>
        <v>68</v>
      </c>
      <c r="AF10" s="39" t="str">
        <f t="shared" si="16"/>
        <v>D</v>
      </c>
      <c r="AG10" s="39"/>
      <c r="AH10" s="39"/>
      <c r="AI10" s="39" t="str">
        <f t="shared" si="17"/>
        <v>₹ 68.00</v>
      </c>
      <c r="AJ10" s="39" t="b">
        <f t="shared" si="18"/>
        <v>1</v>
      </c>
      <c r="AK10" s="39" t="str">
        <f t="shared" si="19"/>
        <v>Divya Verma :Accountant</v>
      </c>
      <c r="AL10" s="39">
        <f t="shared" si="20"/>
        <v>4</v>
      </c>
      <c r="AM10" s="39" t="str">
        <f t="shared" ca="1" si="21"/>
        <v>4EXP</v>
      </c>
      <c r="AN10" s="39">
        <f t="shared" ca="1" si="22"/>
        <v>4</v>
      </c>
      <c r="AO10" s="39" t="str">
        <f t="shared" ca="1" si="23"/>
        <v>4Exprience</v>
      </c>
      <c r="AP10" s="39"/>
      <c r="AQ10" s="39" t="str">
        <f t="shared" ca="1" si="24"/>
        <v>EXP</v>
      </c>
      <c r="AR10" s="39"/>
      <c r="AS10" s="39"/>
    </row>
    <row r="11" spans="1:45" x14ac:dyDescent="0.25">
      <c r="A11" s="2" t="s">
        <v>81</v>
      </c>
      <c r="B11" s="3" t="s">
        <v>82</v>
      </c>
      <c r="C11" s="3" t="s">
        <v>375</v>
      </c>
      <c r="D11" s="60" t="s">
        <v>407</v>
      </c>
      <c r="E11" s="2" t="s">
        <v>55</v>
      </c>
      <c r="F11" s="6" t="str">
        <f t="shared" si="0"/>
        <v>regional manager</v>
      </c>
      <c r="G11" s="3" t="s">
        <v>83</v>
      </c>
      <c r="H11" s="2" t="s">
        <v>26</v>
      </c>
      <c r="I11" s="2">
        <v>42</v>
      </c>
      <c r="J11" s="4" t="s">
        <v>84</v>
      </c>
      <c r="K11" s="2">
        <f t="shared" ca="1" si="1"/>
        <v>12</v>
      </c>
      <c r="L11" s="2" t="s">
        <v>85</v>
      </c>
      <c r="M11" s="5">
        <v>95000</v>
      </c>
      <c r="N11" s="5">
        <v>38000</v>
      </c>
      <c r="O11" s="5">
        <f t="shared" si="2"/>
        <v>19000</v>
      </c>
      <c r="P11" s="5">
        <f t="shared" si="3"/>
        <v>152000</v>
      </c>
      <c r="Q11" s="5">
        <f t="shared" si="4"/>
        <v>15200</v>
      </c>
      <c r="R11" s="5">
        <f t="shared" si="5"/>
        <v>136800</v>
      </c>
      <c r="S11" s="2" t="s">
        <v>73</v>
      </c>
      <c r="T11" s="2">
        <v>5</v>
      </c>
      <c r="U11" s="5">
        <f t="shared" si="6"/>
        <v>7600</v>
      </c>
      <c r="V11" s="3" t="str">
        <f t="shared" si="7"/>
        <v>ravi.tiwari@company.com</v>
      </c>
      <c r="W11" s="2" t="s">
        <v>86</v>
      </c>
      <c r="X11" s="2" t="str">
        <f t="shared" si="8"/>
        <v>Aug-2013</v>
      </c>
      <c r="Y11" s="2" t="str">
        <f t="shared" si="9"/>
        <v>Senior</v>
      </c>
      <c r="Z11" s="33" t="str">
        <f t="shared" si="11"/>
        <v>RAVI TIWARI</v>
      </c>
      <c r="AA11" s="33" t="str">
        <f t="shared" si="12"/>
        <v>ravi.tiwari@company.com</v>
      </c>
      <c r="AB11" s="34" t="str">
        <f t="shared" si="10"/>
        <v>Regional Manager</v>
      </c>
      <c r="AC11" s="39" t="str">
        <f t="shared" si="13"/>
        <v>ห้าบาทถ้วน</v>
      </c>
      <c r="AD11" s="39" t="str">
        <f t="shared" si="14"/>
        <v>R</v>
      </c>
      <c r="AE11" s="39">
        <f t="shared" si="15"/>
        <v>82</v>
      </c>
      <c r="AF11" s="39" t="str">
        <f t="shared" si="16"/>
        <v>R</v>
      </c>
      <c r="AG11" s="39"/>
      <c r="AH11" s="39"/>
      <c r="AI11" s="39" t="str">
        <f t="shared" si="17"/>
        <v>₹ 82.00</v>
      </c>
      <c r="AJ11" s="39" t="b">
        <f t="shared" si="18"/>
        <v>1</v>
      </c>
      <c r="AK11" s="39" t="str">
        <f t="shared" si="19"/>
        <v>Ravi Tiwari :Regional Manager</v>
      </c>
      <c r="AL11" s="39">
        <f t="shared" si="20"/>
        <v>11</v>
      </c>
      <c r="AM11" s="39" t="str">
        <f t="shared" ca="1" si="21"/>
        <v>12EXP</v>
      </c>
      <c r="AN11" s="39">
        <f t="shared" ca="1" si="22"/>
        <v>1</v>
      </c>
      <c r="AO11" s="39" t="str">
        <f t="shared" ca="1" si="23"/>
        <v>1ExprienceP</v>
      </c>
      <c r="AP11" s="39"/>
      <c r="AQ11" s="39" t="str">
        <f t="shared" ca="1" si="24"/>
        <v>EXP</v>
      </c>
      <c r="AR11" s="39"/>
      <c r="AS11" s="39"/>
    </row>
    <row r="12" spans="1:45" x14ac:dyDescent="0.25">
      <c r="A12" s="6" t="s">
        <v>87</v>
      </c>
      <c r="B12" s="7" t="s">
        <v>88</v>
      </c>
      <c r="C12" s="7" t="s">
        <v>376</v>
      </c>
      <c r="D12" s="61" t="s">
        <v>408</v>
      </c>
      <c r="E12" s="6" t="s">
        <v>33</v>
      </c>
      <c r="F12" s="6" t="str">
        <f t="shared" si="0"/>
        <v>recruiter</v>
      </c>
      <c r="G12" s="7" t="s">
        <v>89</v>
      </c>
      <c r="H12" s="6" t="s">
        <v>35</v>
      </c>
      <c r="I12" s="6">
        <v>25</v>
      </c>
      <c r="J12" s="8" t="s">
        <v>90</v>
      </c>
      <c r="K12" s="6">
        <f t="shared" ca="1" si="1"/>
        <v>3</v>
      </c>
      <c r="L12" s="6" t="s">
        <v>91</v>
      </c>
      <c r="M12" s="9">
        <v>40000</v>
      </c>
      <c r="N12" s="9">
        <v>16000</v>
      </c>
      <c r="O12" s="9">
        <f t="shared" si="2"/>
        <v>8000</v>
      </c>
      <c r="P12" s="9">
        <f t="shared" si="3"/>
        <v>64000</v>
      </c>
      <c r="Q12" s="9">
        <f t="shared" si="4"/>
        <v>6400</v>
      </c>
      <c r="R12" s="9">
        <f t="shared" si="5"/>
        <v>57600</v>
      </c>
      <c r="S12" s="6" t="s">
        <v>59</v>
      </c>
      <c r="T12" s="6">
        <v>2</v>
      </c>
      <c r="U12" s="9">
        <f t="shared" si="6"/>
        <v>1280</v>
      </c>
      <c r="V12" s="7" t="str">
        <f t="shared" si="7"/>
        <v>anjali.mishra@company.com</v>
      </c>
      <c r="W12" s="6" t="s">
        <v>92</v>
      </c>
      <c r="X12" s="6" t="str">
        <f t="shared" si="8"/>
        <v>Mar-2023</v>
      </c>
      <c r="Y12" s="6" t="str">
        <f t="shared" si="9"/>
        <v>Junior</v>
      </c>
      <c r="Z12" s="33" t="str">
        <f t="shared" si="11"/>
        <v>ANJALI MISHRA</v>
      </c>
      <c r="AA12" s="33" t="str">
        <f t="shared" si="12"/>
        <v>anjali.mishra@company.com</v>
      </c>
      <c r="AB12" s="34" t="str">
        <f t="shared" si="10"/>
        <v>Recruiter</v>
      </c>
      <c r="AC12" s="39" t="str">
        <f t="shared" si="13"/>
        <v>สองบาทถ้วน</v>
      </c>
      <c r="AD12" s="39" t="str">
        <f t="shared" si="14"/>
        <v>A</v>
      </c>
      <c r="AE12" s="39">
        <f t="shared" si="15"/>
        <v>65</v>
      </c>
      <c r="AF12" s="39" t="str">
        <f t="shared" si="16"/>
        <v>A</v>
      </c>
      <c r="AG12" s="39"/>
      <c r="AH12" s="39"/>
      <c r="AI12" s="39" t="str">
        <f t="shared" si="17"/>
        <v>₹ 65.00</v>
      </c>
      <c r="AJ12" s="39" t="b">
        <f t="shared" si="18"/>
        <v>1</v>
      </c>
      <c r="AK12" s="39" t="str">
        <f t="shared" si="19"/>
        <v>Anjali Mishra :Recruiter</v>
      </c>
      <c r="AL12" s="39">
        <f t="shared" si="20"/>
        <v>7</v>
      </c>
      <c r="AM12" s="39" t="str">
        <f t="shared" ca="1" si="21"/>
        <v>3EXP</v>
      </c>
      <c r="AN12" s="39">
        <f t="shared" ca="1" si="22"/>
        <v>3</v>
      </c>
      <c r="AO12" s="39" t="str">
        <f t="shared" ca="1" si="23"/>
        <v>3Exprience</v>
      </c>
      <c r="AP12" s="39"/>
      <c r="AQ12" s="39" t="str">
        <f t="shared" ca="1" si="24"/>
        <v>EXP</v>
      </c>
      <c r="AR12" s="39"/>
      <c r="AS12" s="39"/>
    </row>
    <row r="13" spans="1:45" x14ac:dyDescent="0.25">
      <c r="A13" s="2" t="s">
        <v>93</v>
      </c>
      <c r="B13" s="3" t="s">
        <v>94</v>
      </c>
      <c r="C13" s="3" t="s">
        <v>377</v>
      </c>
      <c r="D13" s="60" t="s">
        <v>409</v>
      </c>
      <c r="E13" s="2" t="s">
        <v>25</v>
      </c>
      <c r="F13" s="6" t="str">
        <f t="shared" si="0"/>
        <v>devops engineer</v>
      </c>
      <c r="G13" s="3" t="s">
        <v>95</v>
      </c>
      <c r="H13" s="2" t="s">
        <v>26</v>
      </c>
      <c r="I13" s="2">
        <v>33</v>
      </c>
      <c r="J13" s="4" t="s">
        <v>96</v>
      </c>
      <c r="K13" s="2">
        <f t="shared" ca="1" si="1"/>
        <v>6</v>
      </c>
      <c r="L13" s="2" t="s">
        <v>97</v>
      </c>
      <c r="M13" s="5">
        <v>78000</v>
      </c>
      <c r="N13" s="5">
        <v>31200</v>
      </c>
      <c r="O13" s="5">
        <f t="shared" si="2"/>
        <v>15600</v>
      </c>
      <c r="P13" s="5">
        <f t="shared" si="3"/>
        <v>124800</v>
      </c>
      <c r="Q13" s="5">
        <f t="shared" si="4"/>
        <v>12480</v>
      </c>
      <c r="R13" s="5">
        <f t="shared" si="5"/>
        <v>112320</v>
      </c>
      <c r="S13" s="2" t="s">
        <v>38</v>
      </c>
      <c r="T13" s="2">
        <v>4</v>
      </c>
      <c r="U13" s="5">
        <f t="shared" si="6"/>
        <v>6240</v>
      </c>
      <c r="V13" s="3" t="str">
        <f t="shared" si="7"/>
        <v>suresh.gupta@company.com</v>
      </c>
      <c r="W13" s="2" t="s">
        <v>98</v>
      </c>
      <c r="X13" s="2" t="str">
        <f t="shared" si="8"/>
        <v>May-2019</v>
      </c>
      <c r="Y13" s="2" t="str">
        <f t="shared" si="9"/>
        <v>Mid-Level</v>
      </c>
      <c r="Z13" s="33" t="str">
        <f t="shared" si="11"/>
        <v>SURESH GUPTA</v>
      </c>
      <c r="AA13" s="33" t="str">
        <f t="shared" si="12"/>
        <v>suresh.gupta@company.com</v>
      </c>
      <c r="AB13" s="34" t="str">
        <f t="shared" si="10"/>
        <v>Devops Engineer</v>
      </c>
      <c r="AC13" s="39" t="str">
        <f t="shared" si="13"/>
        <v>สี่บาทถ้วน</v>
      </c>
      <c r="AD13" s="39" t="str">
        <f t="shared" si="14"/>
        <v>S</v>
      </c>
      <c r="AE13" s="39">
        <f t="shared" si="15"/>
        <v>83</v>
      </c>
      <c r="AF13" s="39" t="str">
        <f t="shared" si="16"/>
        <v>S</v>
      </c>
      <c r="AG13" s="39"/>
      <c r="AH13" s="39"/>
      <c r="AI13" s="39" t="str">
        <f t="shared" si="17"/>
        <v>₹ 83.00</v>
      </c>
      <c r="AJ13" s="39" t="b">
        <f t="shared" si="18"/>
        <v>0</v>
      </c>
      <c r="AK13" s="39" t="str">
        <f t="shared" si="19"/>
        <v>Suresh Gupta :DevOps Engineer</v>
      </c>
      <c r="AL13" s="39">
        <f t="shared" si="20"/>
        <v>4</v>
      </c>
      <c r="AM13" s="39" t="str">
        <f t="shared" ca="1" si="21"/>
        <v>6EXP</v>
      </c>
      <c r="AN13" s="39">
        <f t="shared" ca="1" si="22"/>
        <v>6</v>
      </c>
      <c r="AO13" s="39" t="str">
        <f t="shared" ca="1" si="23"/>
        <v>6Exprience</v>
      </c>
      <c r="AP13" s="39"/>
      <c r="AQ13" s="39" t="str">
        <f t="shared" ca="1" si="24"/>
        <v>EXP</v>
      </c>
      <c r="AR13" s="39"/>
      <c r="AS13" s="39"/>
    </row>
    <row r="14" spans="1:45" x14ac:dyDescent="0.25">
      <c r="A14" s="6" t="s">
        <v>99</v>
      </c>
      <c r="B14" s="7" t="s">
        <v>100</v>
      </c>
      <c r="C14" s="7" t="s">
        <v>378</v>
      </c>
      <c r="D14" s="61" t="s">
        <v>410</v>
      </c>
      <c r="E14" s="6" t="s">
        <v>63</v>
      </c>
      <c r="F14" s="6" t="str">
        <f t="shared" si="0"/>
        <v>content strategist</v>
      </c>
      <c r="G14" s="7" t="s">
        <v>101</v>
      </c>
      <c r="H14" s="6" t="s">
        <v>35</v>
      </c>
      <c r="I14" s="6">
        <v>29</v>
      </c>
      <c r="J14" s="8" t="s">
        <v>102</v>
      </c>
      <c r="K14" s="6">
        <f t="shared" ca="1" si="1"/>
        <v>4</v>
      </c>
      <c r="L14" s="6" t="s">
        <v>103</v>
      </c>
      <c r="M14" s="9">
        <v>52000</v>
      </c>
      <c r="N14" s="9">
        <v>20800</v>
      </c>
      <c r="O14" s="9">
        <f t="shared" si="2"/>
        <v>10400</v>
      </c>
      <c r="P14" s="9">
        <f t="shared" si="3"/>
        <v>83200</v>
      </c>
      <c r="Q14" s="9">
        <f t="shared" si="4"/>
        <v>8320</v>
      </c>
      <c r="R14" s="9">
        <f t="shared" si="5"/>
        <v>74880</v>
      </c>
      <c r="S14" s="6" t="s">
        <v>38</v>
      </c>
      <c r="T14" s="6">
        <v>3</v>
      </c>
      <c r="U14" s="9">
        <f t="shared" si="6"/>
        <v>1664</v>
      </c>
      <c r="V14" s="7" t="str">
        <f t="shared" si="7"/>
        <v>meera.joshi@company.com</v>
      </c>
      <c r="W14" s="6" t="s">
        <v>104</v>
      </c>
      <c r="X14" s="6" t="str">
        <f t="shared" si="8"/>
        <v>Sep-2021</v>
      </c>
      <c r="Y14" s="6" t="str">
        <f t="shared" si="9"/>
        <v>Junior</v>
      </c>
      <c r="Z14" s="33" t="str">
        <f t="shared" si="11"/>
        <v>MEERA JOSHI</v>
      </c>
      <c r="AA14" s="33" t="str">
        <f t="shared" si="12"/>
        <v>meera.joshi@company.com</v>
      </c>
      <c r="AB14" s="34" t="str">
        <f t="shared" si="10"/>
        <v>Content Strategist</v>
      </c>
      <c r="AC14" s="39" t="str">
        <f t="shared" si="13"/>
        <v>สามบาทถ้วน</v>
      </c>
      <c r="AD14" s="39" t="str">
        <f t="shared" si="14"/>
        <v>M</v>
      </c>
      <c r="AE14" s="39">
        <f t="shared" si="15"/>
        <v>77</v>
      </c>
      <c r="AF14" s="39" t="str">
        <f t="shared" si="16"/>
        <v>M</v>
      </c>
      <c r="AG14" s="39"/>
      <c r="AH14" s="39"/>
      <c r="AI14" s="39" t="str">
        <f t="shared" si="17"/>
        <v>₹ 77.00</v>
      </c>
      <c r="AJ14" s="39" t="b">
        <f t="shared" si="18"/>
        <v>1</v>
      </c>
      <c r="AK14" s="39" t="str">
        <f t="shared" si="19"/>
        <v>Meera Joshi :Content Strategist</v>
      </c>
      <c r="AL14" s="39">
        <f t="shared" si="20"/>
        <v>4</v>
      </c>
      <c r="AM14" s="39" t="str">
        <f t="shared" ca="1" si="21"/>
        <v>4EXP</v>
      </c>
      <c r="AN14" s="39">
        <f t="shared" ca="1" si="22"/>
        <v>4</v>
      </c>
      <c r="AO14" s="39" t="str">
        <f t="shared" ca="1" si="23"/>
        <v>4Exprience</v>
      </c>
      <c r="AP14" s="39"/>
      <c r="AQ14" s="39" t="str">
        <f t="shared" ca="1" si="24"/>
        <v>EXP</v>
      </c>
      <c r="AR14" s="39"/>
      <c r="AS14" s="39"/>
    </row>
    <row r="15" spans="1:45" x14ac:dyDescent="0.25">
      <c r="A15" s="2" t="s">
        <v>105</v>
      </c>
      <c r="B15" s="3" t="s">
        <v>106</v>
      </c>
      <c r="C15" s="3" t="s">
        <v>379</v>
      </c>
      <c r="D15" s="60" t="s">
        <v>411</v>
      </c>
      <c r="E15" s="2" t="s">
        <v>42</v>
      </c>
      <c r="F15" s="6" t="str">
        <f t="shared" si="0"/>
        <v>senior accountant</v>
      </c>
      <c r="G15" s="3" t="s">
        <v>107</v>
      </c>
      <c r="H15" s="2" t="s">
        <v>26</v>
      </c>
      <c r="I15" s="2">
        <v>36</v>
      </c>
      <c r="J15" s="4" t="s">
        <v>108</v>
      </c>
      <c r="K15" s="2">
        <f t="shared" ca="1" si="1"/>
        <v>9</v>
      </c>
      <c r="L15" s="2" t="s">
        <v>109</v>
      </c>
      <c r="M15" s="5">
        <v>74000</v>
      </c>
      <c r="N15" s="5">
        <v>29600</v>
      </c>
      <c r="O15" s="5">
        <f t="shared" si="2"/>
        <v>14800</v>
      </c>
      <c r="P15" s="5">
        <f t="shared" si="3"/>
        <v>118400</v>
      </c>
      <c r="Q15" s="5">
        <f t="shared" si="4"/>
        <v>11840</v>
      </c>
      <c r="R15" s="5">
        <f t="shared" si="5"/>
        <v>106560</v>
      </c>
      <c r="S15" s="2" t="s">
        <v>29</v>
      </c>
      <c r="T15" s="2">
        <v>4</v>
      </c>
      <c r="U15" s="5">
        <f t="shared" si="6"/>
        <v>5920</v>
      </c>
      <c r="V15" s="3" t="str">
        <f t="shared" si="7"/>
        <v>nikhil.pandey@company.com</v>
      </c>
      <c r="W15" s="2" t="s">
        <v>110</v>
      </c>
      <c r="X15" s="2" t="str">
        <f t="shared" si="8"/>
        <v>Dec-2016</v>
      </c>
      <c r="Y15" s="2" t="str">
        <f t="shared" si="9"/>
        <v>Mid-Level</v>
      </c>
      <c r="Z15" s="33" t="str">
        <f t="shared" si="11"/>
        <v>NIKHIL PANDEY</v>
      </c>
      <c r="AA15" s="33" t="str">
        <f t="shared" si="12"/>
        <v>nikhil.pandey@company.com</v>
      </c>
      <c r="AB15" s="34" t="str">
        <f t="shared" si="10"/>
        <v>Senior Accountant</v>
      </c>
      <c r="AC15" s="39" t="str">
        <f t="shared" si="13"/>
        <v>สี่บาทถ้วน</v>
      </c>
      <c r="AD15" s="39" t="str">
        <f t="shared" si="14"/>
        <v>N</v>
      </c>
      <c r="AE15" s="39">
        <f t="shared" si="15"/>
        <v>78</v>
      </c>
      <c r="AF15" s="39" t="str">
        <f t="shared" si="16"/>
        <v>N</v>
      </c>
      <c r="AG15" s="39"/>
      <c r="AH15" s="39"/>
      <c r="AI15" s="39" t="str">
        <f t="shared" si="17"/>
        <v>₹ 78.00</v>
      </c>
      <c r="AJ15" s="39" t="b">
        <f t="shared" si="18"/>
        <v>1</v>
      </c>
      <c r="AK15" s="39" t="str">
        <f t="shared" si="19"/>
        <v>Nikhil Pandey :Senior Accountant</v>
      </c>
      <c r="AL15" s="39">
        <f t="shared" si="20"/>
        <v>9</v>
      </c>
      <c r="AM15" s="39" t="str">
        <f t="shared" ca="1" si="21"/>
        <v>9EXP</v>
      </c>
      <c r="AN15" s="39">
        <f t="shared" ca="1" si="22"/>
        <v>9</v>
      </c>
      <c r="AO15" s="39" t="str">
        <f t="shared" ca="1" si="23"/>
        <v>9Exprience</v>
      </c>
      <c r="AP15" s="39"/>
      <c r="AQ15" s="39" t="str">
        <f t="shared" ca="1" si="24"/>
        <v>EXP</v>
      </c>
      <c r="AR15" s="39"/>
      <c r="AS15" s="39"/>
    </row>
    <row r="16" spans="1:45" x14ac:dyDescent="0.25">
      <c r="A16" s="6" t="s">
        <v>111</v>
      </c>
      <c r="B16" s="7" t="s">
        <v>112</v>
      </c>
      <c r="C16" s="7" t="s">
        <v>380</v>
      </c>
      <c r="D16" s="61" t="s">
        <v>412</v>
      </c>
      <c r="E16" s="6" t="s">
        <v>25</v>
      </c>
      <c r="F16" s="6" t="str">
        <f t="shared" si="0"/>
        <v>qa engineer</v>
      </c>
      <c r="G16" s="7" t="s">
        <v>113</v>
      </c>
      <c r="H16" s="6" t="s">
        <v>35</v>
      </c>
      <c r="I16" s="6">
        <v>27</v>
      </c>
      <c r="J16" s="8" t="s">
        <v>114</v>
      </c>
      <c r="K16" s="6">
        <f t="shared" ca="1" si="1"/>
        <v>3</v>
      </c>
      <c r="L16" s="6" t="s">
        <v>115</v>
      </c>
      <c r="M16" s="9">
        <v>58000</v>
      </c>
      <c r="N16" s="9">
        <v>23200</v>
      </c>
      <c r="O16" s="9">
        <f t="shared" si="2"/>
        <v>11600</v>
      </c>
      <c r="P16" s="9">
        <f t="shared" si="3"/>
        <v>92800</v>
      </c>
      <c r="Q16" s="9">
        <f t="shared" si="4"/>
        <v>9280</v>
      </c>
      <c r="R16" s="9">
        <f t="shared" si="5"/>
        <v>83520</v>
      </c>
      <c r="S16" s="6" t="s">
        <v>59</v>
      </c>
      <c r="T16" s="6">
        <v>3</v>
      </c>
      <c r="U16" s="9">
        <f t="shared" si="6"/>
        <v>1856</v>
      </c>
      <c r="V16" s="7" t="str">
        <f t="shared" si="7"/>
        <v>pooja.yadav@company.com</v>
      </c>
      <c r="W16" s="6" t="s">
        <v>116</v>
      </c>
      <c r="X16" s="6" t="str">
        <f t="shared" si="8"/>
        <v>Jun-2022</v>
      </c>
      <c r="Y16" s="6" t="str">
        <f t="shared" si="9"/>
        <v>Junior</v>
      </c>
      <c r="Z16" s="33" t="str">
        <f t="shared" si="11"/>
        <v>POOJA YADAV</v>
      </c>
      <c r="AA16" s="33" t="str">
        <f t="shared" si="12"/>
        <v>pooja.yadav@company.com</v>
      </c>
      <c r="AB16" s="34" t="str">
        <f t="shared" si="10"/>
        <v>Qa Engineer</v>
      </c>
      <c r="AC16" s="39" t="str">
        <f t="shared" si="13"/>
        <v>สามบาทถ้วน</v>
      </c>
      <c r="AD16" s="39" t="str">
        <f t="shared" si="14"/>
        <v>P</v>
      </c>
      <c r="AE16" s="39">
        <f t="shared" si="15"/>
        <v>80</v>
      </c>
      <c r="AF16" s="39" t="str">
        <f t="shared" si="16"/>
        <v>P</v>
      </c>
      <c r="AG16" s="39"/>
      <c r="AH16" s="39"/>
      <c r="AI16" s="39" t="str">
        <f t="shared" si="17"/>
        <v>₹ 80.00</v>
      </c>
      <c r="AJ16" s="39" t="b">
        <f t="shared" si="18"/>
        <v>0</v>
      </c>
      <c r="AK16" s="39" t="str">
        <f t="shared" si="19"/>
        <v>Pooja Yadav :QA Engineer</v>
      </c>
      <c r="AL16" s="39">
        <f t="shared" si="20"/>
        <v>7</v>
      </c>
      <c r="AM16" s="39" t="str">
        <f t="shared" ca="1" si="21"/>
        <v>3EXP</v>
      </c>
      <c r="AN16" s="39">
        <f t="shared" ca="1" si="22"/>
        <v>3</v>
      </c>
      <c r="AO16" s="39" t="str">
        <f t="shared" ca="1" si="23"/>
        <v>3Exprience</v>
      </c>
      <c r="AP16" s="39"/>
      <c r="AQ16" s="39" t="str">
        <f t="shared" ca="1" si="24"/>
        <v>EXP</v>
      </c>
      <c r="AR16" s="39"/>
      <c r="AS16" s="39"/>
    </row>
    <row r="17" spans="1:45" x14ac:dyDescent="0.25">
      <c r="A17" s="2" t="s">
        <v>117</v>
      </c>
      <c r="B17" s="3" t="s">
        <v>118</v>
      </c>
      <c r="C17" s="3" t="s">
        <v>381</v>
      </c>
      <c r="D17" s="60" t="s">
        <v>413</v>
      </c>
      <c r="E17" s="2" t="s">
        <v>55</v>
      </c>
      <c r="F17" s="6" t="str">
        <f t="shared" si="0"/>
        <v>sales manager</v>
      </c>
      <c r="G17" s="3" t="s">
        <v>119</v>
      </c>
      <c r="H17" s="2" t="s">
        <v>26</v>
      </c>
      <c r="I17" s="2">
        <v>40</v>
      </c>
      <c r="J17" s="4" t="s">
        <v>120</v>
      </c>
      <c r="K17" s="2">
        <f t="shared" ca="1" si="1"/>
        <v>11</v>
      </c>
      <c r="L17" s="2" t="s">
        <v>121</v>
      </c>
      <c r="M17" s="5">
        <v>88000</v>
      </c>
      <c r="N17" s="5">
        <v>35200</v>
      </c>
      <c r="O17" s="5">
        <f t="shared" si="2"/>
        <v>17600</v>
      </c>
      <c r="P17" s="5">
        <f t="shared" si="3"/>
        <v>140800</v>
      </c>
      <c r="Q17" s="5">
        <f t="shared" si="4"/>
        <v>14080</v>
      </c>
      <c r="R17" s="5">
        <f t="shared" si="5"/>
        <v>126720</v>
      </c>
      <c r="S17" s="2" t="s">
        <v>73</v>
      </c>
      <c r="T17" s="2">
        <v>5</v>
      </c>
      <c r="U17" s="5">
        <f t="shared" si="6"/>
        <v>7040</v>
      </c>
      <c r="V17" s="3" t="str">
        <f t="shared" si="7"/>
        <v>manoj.desai@company.com</v>
      </c>
      <c r="W17" s="2" t="s">
        <v>122</v>
      </c>
      <c r="X17" s="2" t="str">
        <f t="shared" si="8"/>
        <v>Oct-2014</v>
      </c>
      <c r="Y17" s="2" t="str">
        <f t="shared" si="9"/>
        <v>Senior</v>
      </c>
      <c r="Z17" s="33" t="str">
        <f t="shared" si="11"/>
        <v>MANOJ DESAI</v>
      </c>
      <c r="AA17" s="33" t="str">
        <f t="shared" si="12"/>
        <v>manoj.desai@company.com</v>
      </c>
      <c r="AB17" s="34" t="str">
        <f t="shared" si="10"/>
        <v>Sales Manager</v>
      </c>
      <c r="AC17" s="39" t="str">
        <f t="shared" si="13"/>
        <v>ห้าบาทถ้วน</v>
      </c>
      <c r="AD17" s="39" t="str">
        <f t="shared" si="14"/>
        <v>M</v>
      </c>
      <c r="AE17" s="39">
        <f t="shared" si="15"/>
        <v>77</v>
      </c>
      <c r="AF17" s="39" t="str">
        <f t="shared" si="16"/>
        <v>M</v>
      </c>
      <c r="AG17" s="39"/>
      <c r="AH17" s="39"/>
      <c r="AI17" s="39" t="str">
        <f t="shared" si="17"/>
        <v>₹ 77.00</v>
      </c>
      <c r="AJ17" s="39" t="b">
        <f t="shared" si="18"/>
        <v>1</v>
      </c>
      <c r="AK17" s="39" t="str">
        <f t="shared" si="19"/>
        <v>Manoj Desai :Sales Manager</v>
      </c>
      <c r="AL17" s="39">
        <f t="shared" si="20"/>
        <v>11</v>
      </c>
      <c r="AM17" s="39" t="str">
        <f t="shared" ca="1" si="21"/>
        <v>11EXP</v>
      </c>
      <c r="AN17" s="39">
        <f t="shared" ca="1" si="22"/>
        <v>1</v>
      </c>
      <c r="AO17" s="39" t="str">
        <f t="shared" ca="1" si="23"/>
        <v>1ExprienceP</v>
      </c>
      <c r="AP17" s="39"/>
      <c r="AQ17" s="39" t="str">
        <f t="shared" ca="1" si="24"/>
        <v>EXP</v>
      </c>
      <c r="AR17" s="39"/>
      <c r="AS17" s="39"/>
    </row>
    <row r="18" spans="1:45" x14ac:dyDescent="0.25">
      <c r="A18" s="6" t="s">
        <v>123</v>
      </c>
      <c r="B18" s="7" t="s">
        <v>124</v>
      </c>
      <c r="C18" s="7" t="s">
        <v>309</v>
      </c>
      <c r="D18" s="61" t="s">
        <v>384</v>
      </c>
      <c r="E18" s="6" t="s">
        <v>33</v>
      </c>
      <c r="F18" s="6" t="str">
        <f>LOWER(G18)</f>
        <v>training specialist</v>
      </c>
      <c r="G18" s="7" t="s">
        <v>125</v>
      </c>
      <c r="H18" s="6" t="s">
        <v>35</v>
      </c>
      <c r="I18" s="6">
        <v>31</v>
      </c>
      <c r="J18" s="8" t="s">
        <v>126</v>
      </c>
      <c r="K18" s="6">
        <f t="shared" ca="1" si="1"/>
        <v>6</v>
      </c>
      <c r="L18" s="6" t="s">
        <v>127</v>
      </c>
      <c r="M18" s="9">
        <v>62000</v>
      </c>
      <c r="N18" s="9">
        <v>24800</v>
      </c>
      <c r="O18" s="9">
        <f t="shared" si="2"/>
        <v>12400</v>
      </c>
      <c r="P18" s="9">
        <f t="shared" si="3"/>
        <v>99200</v>
      </c>
      <c r="Q18" s="9">
        <f t="shared" si="4"/>
        <v>9920</v>
      </c>
      <c r="R18" s="9">
        <f t="shared" si="5"/>
        <v>89280</v>
      </c>
      <c r="S18" s="6" t="s">
        <v>38</v>
      </c>
      <c r="T18" s="6">
        <v>4</v>
      </c>
      <c r="U18" s="9">
        <f t="shared" si="6"/>
        <v>4960</v>
      </c>
      <c r="V18" s="7" t="str">
        <f t="shared" si="7"/>
        <v>lakshmi.iyer@company.com</v>
      </c>
      <c r="W18" s="6" t="s">
        <v>128</v>
      </c>
      <c r="X18" s="6" t="str">
        <f t="shared" si="8"/>
        <v>Jul-2019</v>
      </c>
      <c r="Y18" s="6" t="str">
        <f t="shared" si="9"/>
        <v>Mid-Level</v>
      </c>
      <c r="Z18" s="33" t="str">
        <f t="shared" si="11"/>
        <v>LAKSHMI IYER</v>
      </c>
      <c r="AA18" s="33" t="str">
        <f t="shared" si="12"/>
        <v>lakshmi.iyer@company.com</v>
      </c>
      <c r="AB18" s="34" t="str">
        <f>PROPER(G18)</f>
        <v>Training Specialist</v>
      </c>
      <c r="AC18" s="39" t="str">
        <f t="shared" si="13"/>
        <v>สี่บาทถ้วน</v>
      </c>
      <c r="AD18" s="39" t="str">
        <f t="shared" si="14"/>
        <v>L</v>
      </c>
      <c r="AE18" s="39">
        <f t="shared" si="15"/>
        <v>76</v>
      </c>
      <c r="AF18" s="39" t="str">
        <f t="shared" si="16"/>
        <v>L</v>
      </c>
      <c r="AG18" s="39"/>
      <c r="AH18" s="39"/>
      <c r="AI18" s="39" t="str">
        <f t="shared" si="17"/>
        <v>₹ 76.00</v>
      </c>
      <c r="AJ18" s="39" t="b">
        <f t="shared" si="18"/>
        <v>1</v>
      </c>
      <c r="AK18" s="39" t="str">
        <f t="shared" si="19"/>
        <v>Lakshmi Iyer :Training Specialist</v>
      </c>
      <c r="AL18" s="39">
        <f t="shared" si="20"/>
        <v>4</v>
      </c>
      <c r="AM18" s="39" t="str">
        <f t="shared" ca="1" si="21"/>
        <v>6EXP</v>
      </c>
      <c r="AN18" s="39">
        <f t="shared" ca="1" si="22"/>
        <v>6</v>
      </c>
      <c r="AO18" s="39" t="str">
        <f t="shared" ca="1" si="23"/>
        <v>6Exprience</v>
      </c>
      <c r="AP18" s="39"/>
      <c r="AQ18" s="39" t="str">
        <f t="shared" ca="1" si="24"/>
        <v>EXP</v>
      </c>
      <c r="AR18" s="39"/>
      <c r="AS18" s="39"/>
    </row>
    <row r="19" spans="1:45" x14ac:dyDescent="0.25">
      <c r="A19" s="2" t="s">
        <v>129</v>
      </c>
      <c r="B19" s="3" t="s">
        <v>130</v>
      </c>
      <c r="C19" s="3" t="s">
        <v>310</v>
      </c>
      <c r="D19" s="60" t="s">
        <v>385</v>
      </c>
      <c r="E19" s="2" t="s">
        <v>25</v>
      </c>
      <c r="F19" s="6" t="str">
        <f t="shared" ref="F19:F32" si="25">LOWER(G19)</f>
        <v>cloud architect</v>
      </c>
      <c r="G19" s="3" t="s">
        <v>131</v>
      </c>
      <c r="H19" s="2" t="s">
        <v>26</v>
      </c>
      <c r="I19" s="2">
        <v>37</v>
      </c>
      <c r="J19" s="4" t="s">
        <v>132</v>
      </c>
      <c r="K19" s="2">
        <f t="shared" ca="1" si="1"/>
        <v>10</v>
      </c>
      <c r="L19" s="2" t="s">
        <v>133</v>
      </c>
      <c r="M19" s="5">
        <v>110000</v>
      </c>
      <c r="N19" s="5">
        <v>44000</v>
      </c>
      <c r="O19" s="5">
        <f t="shared" si="2"/>
        <v>22000</v>
      </c>
      <c r="P19" s="5">
        <f t="shared" si="3"/>
        <v>176000</v>
      </c>
      <c r="Q19" s="5">
        <f t="shared" si="4"/>
        <v>17600</v>
      </c>
      <c r="R19" s="5">
        <f t="shared" si="5"/>
        <v>158400</v>
      </c>
      <c r="S19" s="2" t="s">
        <v>73</v>
      </c>
      <c r="T19" s="2">
        <v>5</v>
      </c>
      <c r="U19" s="5">
        <f t="shared" si="6"/>
        <v>8800</v>
      </c>
      <c r="V19" s="3" t="str">
        <f t="shared" si="7"/>
        <v>aditya.kapoor@company.com</v>
      </c>
      <c r="W19" s="2" t="s">
        <v>134</v>
      </c>
      <c r="X19" s="2" t="str">
        <f t="shared" si="8"/>
        <v>Mar-2016</v>
      </c>
      <c r="Y19" s="2" t="str">
        <f t="shared" si="9"/>
        <v>Executive</v>
      </c>
      <c r="Z19" s="33" t="str">
        <f t="shared" si="11"/>
        <v>ADITYA KAPOOR</v>
      </c>
      <c r="AA19" s="33" t="str">
        <f t="shared" si="12"/>
        <v>aditya.kapoor@company.com</v>
      </c>
      <c r="AB19" s="34" t="str">
        <f t="shared" ref="AB19:AB32" si="26">PROPER(G19)</f>
        <v>Cloud Architect</v>
      </c>
      <c r="AC19" s="39" t="str">
        <f t="shared" si="13"/>
        <v>ห้าบาทถ้วน</v>
      </c>
      <c r="AD19" s="39" t="str">
        <f t="shared" si="14"/>
        <v>A</v>
      </c>
      <c r="AE19" s="39">
        <f t="shared" si="15"/>
        <v>65</v>
      </c>
      <c r="AF19" s="39" t="str">
        <f t="shared" si="16"/>
        <v>A</v>
      </c>
      <c r="AG19" s="39"/>
      <c r="AH19" s="39"/>
      <c r="AI19" s="39" t="str">
        <f t="shared" si="17"/>
        <v>₹ 65.00</v>
      </c>
      <c r="AJ19" s="39" t="b">
        <f t="shared" si="18"/>
        <v>1</v>
      </c>
      <c r="AK19" s="39" t="str">
        <f t="shared" si="19"/>
        <v>Aditya Kapoor :Cloud Architect</v>
      </c>
      <c r="AL19" s="39">
        <f t="shared" si="20"/>
        <v>11</v>
      </c>
      <c r="AM19" s="39" t="str">
        <f t="shared" ca="1" si="21"/>
        <v>10EXP</v>
      </c>
      <c r="AN19" s="39">
        <f t="shared" ca="1" si="22"/>
        <v>1</v>
      </c>
      <c r="AO19" s="39" t="str">
        <f t="shared" ca="1" si="23"/>
        <v>1ExprienceP</v>
      </c>
      <c r="AP19" s="39"/>
      <c r="AQ19" s="39" t="str">
        <f t="shared" ca="1" si="24"/>
        <v>EXP</v>
      </c>
      <c r="AR19" s="39"/>
      <c r="AS19" s="39"/>
    </row>
    <row r="20" spans="1:45" x14ac:dyDescent="0.25">
      <c r="A20" s="6" t="s">
        <v>135</v>
      </c>
      <c r="B20" s="7" t="s">
        <v>136</v>
      </c>
      <c r="C20" s="7" t="s">
        <v>311</v>
      </c>
      <c r="D20" s="61" t="s">
        <v>386</v>
      </c>
      <c r="E20" s="6" t="s">
        <v>63</v>
      </c>
      <c r="F20" s="6" t="str">
        <f t="shared" si="25"/>
        <v>seo specialist</v>
      </c>
      <c r="G20" s="7" t="s">
        <v>137</v>
      </c>
      <c r="H20" s="6" t="s">
        <v>35</v>
      </c>
      <c r="I20" s="6">
        <v>26</v>
      </c>
      <c r="J20" s="8" t="s">
        <v>138</v>
      </c>
      <c r="K20" s="6">
        <f t="shared" ca="1" si="1"/>
        <v>3</v>
      </c>
      <c r="L20" s="6" t="s">
        <v>139</v>
      </c>
      <c r="M20" s="9">
        <v>47000</v>
      </c>
      <c r="N20" s="9">
        <v>18800</v>
      </c>
      <c r="O20" s="9">
        <f t="shared" si="2"/>
        <v>9400</v>
      </c>
      <c r="P20" s="9">
        <f t="shared" si="3"/>
        <v>75200</v>
      </c>
      <c r="Q20" s="9">
        <f t="shared" si="4"/>
        <v>7520</v>
      </c>
      <c r="R20" s="9">
        <f t="shared" si="5"/>
        <v>67680</v>
      </c>
      <c r="S20" s="6" t="s">
        <v>59</v>
      </c>
      <c r="T20" s="6">
        <v>2</v>
      </c>
      <c r="U20" s="9">
        <f t="shared" si="6"/>
        <v>1504</v>
      </c>
      <c r="V20" s="7" t="str">
        <f t="shared" si="7"/>
        <v>nisha.saxena@company.com</v>
      </c>
      <c r="W20" s="6" t="s">
        <v>140</v>
      </c>
      <c r="X20" s="6" t="str">
        <f t="shared" si="8"/>
        <v>Jan-2023</v>
      </c>
      <c r="Y20" s="6" t="str">
        <f t="shared" si="9"/>
        <v>Junior</v>
      </c>
      <c r="Z20" s="33" t="str">
        <f t="shared" si="11"/>
        <v>NISHA SAXENA</v>
      </c>
      <c r="AA20" s="33" t="str">
        <f t="shared" si="12"/>
        <v>nisha.saxena@company.com</v>
      </c>
      <c r="AB20" s="34" t="str">
        <f t="shared" si="26"/>
        <v>Seo Specialist</v>
      </c>
      <c r="AC20" s="39" t="str">
        <f t="shared" si="13"/>
        <v>สองบาทถ้วน</v>
      </c>
      <c r="AD20" s="39" t="str">
        <f t="shared" si="14"/>
        <v>N</v>
      </c>
      <c r="AE20" s="39">
        <f t="shared" si="15"/>
        <v>78</v>
      </c>
      <c r="AF20" s="39" t="str">
        <f t="shared" si="16"/>
        <v>N</v>
      </c>
      <c r="AG20" s="39"/>
      <c r="AH20" s="39"/>
      <c r="AI20" s="39" t="str">
        <f t="shared" si="17"/>
        <v>₹ 78.00</v>
      </c>
      <c r="AJ20" s="39" t="b">
        <f t="shared" si="18"/>
        <v>0</v>
      </c>
      <c r="AK20" s="39" t="str">
        <f t="shared" si="19"/>
        <v>Nisha Saxena :SEO Specialist</v>
      </c>
      <c r="AL20" s="39">
        <f t="shared" si="20"/>
        <v>7</v>
      </c>
      <c r="AM20" s="39" t="str">
        <f t="shared" ca="1" si="21"/>
        <v>3EXP</v>
      </c>
      <c r="AN20" s="39">
        <f t="shared" ca="1" si="22"/>
        <v>3</v>
      </c>
      <c r="AO20" s="39" t="str">
        <f t="shared" ca="1" si="23"/>
        <v>3Exprience</v>
      </c>
      <c r="AP20" s="39"/>
      <c r="AQ20" s="39" t="str">
        <f t="shared" ca="1" si="24"/>
        <v>EXP</v>
      </c>
      <c r="AR20" s="39"/>
      <c r="AS20" s="39"/>
    </row>
    <row r="21" spans="1:45" x14ac:dyDescent="0.25">
      <c r="A21" s="2" t="s">
        <v>141</v>
      </c>
      <c r="B21" s="3" t="s">
        <v>142</v>
      </c>
      <c r="C21" s="3" t="s">
        <v>312</v>
      </c>
      <c r="D21" s="60" t="s">
        <v>387</v>
      </c>
      <c r="E21" s="2" t="s">
        <v>42</v>
      </c>
      <c r="F21" s="6" t="str">
        <f t="shared" si="25"/>
        <v>cfo</v>
      </c>
      <c r="G21" s="3" t="s">
        <v>143</v>
      </c>
      <c r="H21" s="2" t="s">
        <v>26</v>
      </c>
      <c r="I21" s="2">
        <v>50</v>
      </c>
      <c r="J21" s="4" t="s">
        <v>144</v>
      </c>
      <c r="K21" s="2">
        <f t="shared" ca="1" si="1"/>
        <v>16</v>
      </c>
      <c r="L21" s="2" t="s">
        <v>145</v>
      </c>
      <c r="M21" s="5">
        <v>150000</v>
      </c>
      <c r="N21" s="5">
        <v>60000</v>
      </c>
      <c r="O21" s="5">
        <f t="shared" si="2"/>
        <v>30000</v>
      </c>
      <c r="P21" s="5">
        <f t="shared" si="3"/>
        <v>240000</v>
      </c>
      <c r="Q21" s="5">
        <f t="shared" si="4"/>
        <v>24000</v>
      </c>
      <c r="R21" s="5">
        <f t="shared" si="5"/>
        <v>216000</v>
      </c>
      <c r="S21" s="2" t="s">
        <v>73</v>
      </c>
      <c r="T21" s="2">
        <v>5</v>
      </c>
      <c r="U21" s="5">
        <f t="shared" si="6"/>
        <v>12000</v>
      </c>
      <c r="V21" s="3" t="str">
        <f t="shared" si="7"/>
        <v>rajesh.bose@company.com</v>
      </c>
      <c r="W21" s="2" t="s">
        <v>146</v>
      </c>
      <c r="X21" s="2" t="str">
        <f t="shared" si="8"/>
        <v>Apr-2010</v>
      </c>
      <c r="Y21" s="2" t="str">
        <f t="shared" si="9"/>
        <v>Executive</v>
      </c>
      <c r="Z21" s="33" t="str">
        <f t="shared" si="11"/>
        <v>RAJESH BOSE</v>
      </c>
      <c r="AA21" s="33" t="str">
        <f t="shared" si="12"/>
        <v>rajesh.bose@company.com</v>
      </c>
      <c r="AB21" s="34" t="str">
        <f t="shared" si="26"/>
        <v>Cfo</v>
      </c>
      <c r="AC21" s="39" t="str">
        <f t="shared" si="13"/>
        <v>ห้าบาทถ้วน</v>
      </c>
      <c r="AD21" s="39" t="str">
        <f t="shared" si="14"/>
        <v>R</v>
      </c>
      <c r="AE21" s="39">
        <f t="shared" si="15"/>
        <v>82</v>
      </c>
      <c r="AF21" s="39" t="str">
        <f t="shared" si="16"/>
        <v>R</v>
      </c>
      <c r="AG21" s="39"/>
      <c r="AH21" s="39"/>
      <c r="AI21" s="39" t="str">
        <f t="shared" si="17"/>
        <v>₹ 82.00</v>
      </c>
      <c r="AJ21" s="39" t="b">
        <f t="shared" si="18"/>
        <v>0</v>
      </c>
      <c r="AK21" s="39" t="str">
        <f t="shared" si="19"/>
        <v>Rajesh Bose :CFO</v>
      </c>
      <c r="AL21" s="39">
        <f t="shared" si="20"/>
        <v>11</v>
      </c>
      <c r="AM21" s="39" t="str">
        <f t="shared" ca="1" si="21"/>
        <v>16EXP</v>
      </c>
      <c r="AN21" s="39">
        <f t="shared" ca="1" si="22"/>
        <v>1</v>
      </c>
      <c r="AO21" s="39" t="str">
        <f t="shared" ca="1" si="23"/>
        <v>1ExprienceP</v>
      </c>
      <c r="AP21" s="39"/>
      <c r="AQ21" s="39" t="str">
        <f t="shared" ca="1" si="24"/>
        <v>EXP</v>
      </c>
      <c r="AR21" s="39"/>
      <c r="AS21" s="39"/>
    </row>
    <row r="22" spans="1:45" x14ac:dyDescent="0.25">
      <c r="A22" s="6" t="s">
        <v>147</v>
      </c>
      <c r="B22" s="7" t="s">
        <v>148</v>
      </c>
      <c r="C22" s="7" t="s">
        <v>313</v>
      </c>
      <c r="D22" s="61" t="s">
        <v>388</v>
      </c>
      <c r="E22" s="6" t="s">
        <v>25</v>
      </c>
      <c r="F22" s="6" t="str">
        <f t="shared" si="25"/>
        <v>mobile developer</v>
      </c>
      <c r="G22" s="7" t="s">
        <v>149</v>
      </c>
      <c r="H22" s="6" t="s">
        <v>35</v>
      </c>
      <c r="I22" s="6">
        <v>28</v>
      </c>
      <c r="J22" s="8" t="s">
        <v>150</v>
      </c>
      <c r="K22" s="6">
        <f t="shared" ca="1" si="1"/>
        <v>4</v>
      </c>
      <c r="L22" s="6" t="s">
        <v>151</v>
      </c>
      <c r="M22" s="9">
        <v>67000</v>
      </c>
      <c r="N22" s="9">
        <v>26800</v>
      </c>
      <c r="O22" s="9">
        <f t="shared" si="2"/>
        <v>13400</v>
      </c>
      <c r="P22" s="9">
        <f t="shared" si="3"/>
        <v>107200</v>
      </c>
      <c r="Q22" s="9">
        <f t="shared" si="4"/>
        <v>10720</v>
      </c>
      <c r="R22" s="9">
        <f t="shared" si="5"/>
        <v>96480</v>
      </c>
      <c r="S22" s="6" t="s">
        <v>38</v>
      </c>
      <c r="T22" s="6">
        <v>4</v>
      </c>
      <c r="U22" s="9">
        <f t="shared" si="6"/>
        <v>5360</v>
      </c>
      <c r="V22" s="7" t="str">
        <f t="shared" si="7"/>
        <v>simran.kaur@company.com</v>
      </c>
      <c r="W22" s="6" t="s">
        <v>152</v>
      </c>
      <c r="X22" s="6" t="str">
        <f t="shared" si="8"/>
        <v>Nov-2021</v>
      </c>
      <c r="Y22" s="6" t="str">
        <f t="shared" si="9"/>
        <v>Mid-Level</v>
      </c>
      <c r="Z22" s="33" t="str">
        <f t="shared" si="11"/>
        <v>SIMRAN KAUR</v>
      </c>
      <c r="AA22" s="33" t="str">
        <f t="shared" si="12"/>
        <v>simran.kaur@company.com</v>
      </c>
      <c r="AB22" s="34" t="str">
        <f t="shared" si="26"/>
        <v>Mobile Developer</v>
      </c>
      <c r="AC22" s="39" t="str">
        <f t="shared" si="13"/>
        <v>สี่บาทถ้วน</v>
      </c>
      <c r="AD22" s="39" t="str">
        <f t="shared" si="14"/>
        <v>S</v>
      </c>
      <c r="AE22" s="39">
        <f t="shared" si="15"/>
        <v>83</v>
      </c>
      <c r="AF22" s="39" t="str">
        <f t="shared" si="16"/>
        <v>S</v>
      </c>
      <c r="AG22" s="39"/>
      <c r="AH22" s="39"/>
      <c r="AI22" s="39" t="str">
        <f t="shared" si="17"/>
        <v>₹ 83.00</v>
      </c>
      <c r="AJ22" s="39" t="b">
        <f t="shared" si="18"/>
        <v>1</v>
      </c>
      <c r="AK22" s="39" t="str">
        <f t="shared" si="19"/>
        <v>Simran Kaur :Mobile Developer</v>
      </c>
      <c r="AL22" s="39">
        <f t="shared" si="20"/>
        <v>4</v>
      </c>
      <c r="AM22" s="39" t="str">
        <f t="shared" ca="1" si="21"/>
        <v>4EXP</v>
      </c>
      <c r="AN22" s="39">
        <f t="shared" ca="1" si="22"/>
        <v>4</v>
      </c>
      <c r="AO22" s="39" t="str">
        <f t="shared" ca="1" si="23"/>
        <v>4Exprience</v>
      </c>
      <c r="AP22" s="39"/>
      <c r="AQ22" s="39" t="str">
        <f t="shared" ca="1" si="24"/>
        <v>EXP</v>
      </c>
      <c r="AR22" s="39"/>
      <c r="AS22" s="39"/>
    </row>
    <row r="23" spans="1:45" x14ac:dyDescent="0.25">
      <c r="A23" s="2" t="s">
        <v>153</v>
      </c>
      <c r="B23" s="3" t="s">
        <v>154</v>
      </c>
      <c r="C23" s="3" t="s">
        <v>314</v>
      </c>
      <c r="D23" s="60" t="s">
        <v>389</v>
      </c>
      <c r="E23" s="2" t="s">
        <v>55</v>
      </c>
      <c r="F23" s="6" t="str">
        <f t="shared" si="25"/>
        <v>sales executive</v>
      </c>
      <c r="G23" s="3" t="s">
        <v>56</v>
      </c>
      <c r="H23" s="2" t="s">
        <v>26</v>
      </c>
      <c r="I23" s="2">
        <v>24</v>
      </c>
      <c r="J23" s="4" t="s">
        <v>155</v>
      </c>
      <c r="K23" s="2">
        <f t="shared" ca="1" si="1"/>
        <v>2</v>
      </c>
      <c r="L23" s="2" t="s">
        <v>156</v>
      </c>
      <c r="M23" s="5">
        <v>42000</v>
      </c>
      <c r="N23" s="5">
        <v>16800</v>
      </c>
      <c r="O23" s="5">
        <f t="shared" si="2"/>
        <v>8400</v>
      </c>
      <c r="P23" s="5">
        <f t="shared" si="3"/>
        <v>67200</v>
      </c>
      <c r="Q23" s="5">
        <f t="shared" si="4"/>
        <v>6720</v>
      </c>
      <c r="R23" s="5">
        <f t="shared" si="5"/>
        <v>60480</v>
      </c>
      <c r="S23" s="2" t="s">
        <v>59</v>
      </c>
      <c r="T23" s="2">
        <v>2</v>
      </c>
      <c r="U23" s="5">
        <f t="shared" si="6"/>
        <v>1344</v>
      </c>
      <c r="V23" s="3" t="str">
        <f t="shared" si="7"/>
        <v>tarun.bhatt@company.com</v>
      </c>
      <c r="W23" s="2" t="s">
        <v>157</v>
      </c>
      <c r="X23" s="2" t="str">
        <f t="shared" si="8"/>
        <v>Jan-2024</v>
      </c>
      <c r="Y23" s="2" t="str">
        <f t="shared" si="9"/>
        <v>Junior</v>
      </c>
      <c r="Z23" s="33" t="str">
        <f t="shared" si="11"/>
        <v>TARUN BHATT</v>
      </c>
      <c r="AA23" s="33" t="str">
        <f t="shared" si="12"/>
        <v>tarun.bhatt@company.com</v>
      </c>
      <c r="AB23" s="34" t="str">
        <f t="shared" si="26"/>
        <v>Sales Executive</v>
      </c>
      <c r="AC23" s="39" t="str">
        <f t="shared" si="13"/>
        <v>สองบาทถ้วน</v>
      </c>
      <c r="AD23" s="39" t="str">
        <f t="shared" si="14"/>
        <v>T</v>
      </c>
      <c r="AE23" s="39">
        <f t="shared" si="15"/>
        <v>84</v>
      </c>
      <c r="AF23" s="39" t="str">
        <f t="shared" si="16"/>
        <v>T</v>
      </c>
      <c r="AG23" s="39"/>
      <c r="AH23" s="39"/>
      <c r="AI23" s="39" t="str">
        <f t="shared" si="17"/>
        <v>₹ 84.00</v>
      </c>
      <c r="AJ23" s="39" t="b">
        <f t="shared" si="18"/>
        <v>1</v>
      </c>
      <c r="AK23" s="39" t="str">
        <f t="shared" si="19"/>
        <v>Tarun Bhatt :Sales Executive</v>
      </c>
      <c r="AL23" s="39">
        <f t="shared" si="20"/>
        <v>7</v>
      </c>
      <c r="AM23" s="39" t="str">
        <f t="shared" ca="1" si="21"/>
        <v>2EXP</v>
      </c>
      <c r="AN23" s="39">
        <f t="shared" ca="1" si="22"/>
        <v>2</v>
      </c>
      <c r="AO23" s="39" t="str">
        <f t="shared" ca="1" si="23"/>
        <v>2Exprience</v>
      </c>
      <c r="AP23" s="39"/>
      <c r="AQ23" s="39" t="str">
        <f t="shared" ca="1" si="24"/>
        <v>EXP</v>
      </c>
      <c r="AR23" s="39"/>
      <c r="AS23" s="39"/>
    </row>
    <row r="24" spans="1:45" x14ac:dyDescent="0.25">
      <c r="A24" s="6" t="s">
        <v>158</v>
      </c>
      <c r="B24" s="7" t="s">
        <v>159</v>
      </c>
      <c r="C24" s="7" t="s">
        <v>315</v>
      </c>
      <c r="D24" s="61" t="s">
        <v>390</v>
      </c>
      <c r="E24" s="6" t="s">
        <v>33</v>
      </c>
      <c r="F24" s="6" t="str">
        <f t="shared" si="25"/>
        <v>hr director</v>
      </c>
      <c r="G24" s="7" t="s">
        <v>160</v>
      </c>
      <c r="H24" s="6" t="s">
        <v>35</v>
      </c>
      <c r="I24" s="6">
        <v>45</v>
      </c>
      <c r="J24" s="8" t="s">
        <v>161</v>
      </c>
      <c r="K24" s="6">
        <f t="shared" ca="1" si="1"/>
        <v>14</v>
      </c>
      <c r="L24" s="6" t="s">
        <v>162</v>
      </c>
      <c r="M24" s="9">
        <v>120000</v>
      </c>
      <c r="N24" s="9">
        <v>48000</v>
      </c>
      <c r="O24" s="9">
        <f t="shared" si="2"/>
        <v>24000</v>
      </c>
      <c r="P24" s="9">
        <f t="shared" si="3"/>
        <v>192000</v>
      </c>
      <c r="Q24" s="9">
        <f t="shared" si="4"/>
        <v>19200</v>
      </c>
      <c r="R24" s="9">
        <f t="shared" si="5"/>
        <v>172800</v>
      </c>
      <c r="S24" s="6" t="s">
        <v>73</v>
      </c>
      <c r="T24" s="6">
        <v>5</v>
      </c>
      <c r="U24" s="9">
        <f t="shared" si="6"/>
        <v>9600</v>
      </c>
      <c r="V24" s="7" t="str">
        <f t="shared" si="7"/>
        <v>uma.shetty@company.com</v>
      </c>
      <c r="W24" s="6" t="s">
        <v>163</v>
      </c>
      <c r="X24" s="6" t="str">
        <f t="shared" si="8"/>
        <v>Sep-2011</v>
      </c>
      <c r="Y24" s="6" t="str">
        <f t="shared" si="9"/>
        <v>Executive</v>
      </c>
      <c r="Z24" s="33" t="str">
        <f t="shared" si="11"/>
        <v>UMA SHETTY</v>
      </c>
      <c r="AA24" s="33" t="str">
        <f t="shared" si="12"/>
        <v>uma.shetty@company.com</v>
      </c>
      <c r="AB24" s="34" t="str">
        <f t="shared" si="26"/>
        <v>Hr Director</v>
      </c>
      <c r="AC24" s="39" t="str">
        <f t="shared" si="13"/>
        <v>ห้าบาทถ้วน</v>
      </c>
      <c r="AD24" s="39" t="str">
        <f t="shared" si="14"/>
        <v>U</v>
      </c>
      <c r="AE24" s="39">
        <f t="shared" si="15"/>
        <v>85</v>
      </c>
      <c r="AF24" s="39" t="str">
        <f t="shared" si="16"/>
        <v>U</v>
      </c>
      <c r="AG24" s="39"/>
      <c r="AH24" s="39"/>
      <c r="AI24" s="39" t="str">
        <f t="shared" si="17"/>
        <v>₹ 85.00</v>
      </c>
      <c r="AJ24" s="39" t="b">
        <f t="shared" si="18"/>
        <v>0</v>
      </c>
      <c r="AK24" s="39" t="str">
        <f t="shared" si="19"/>
        <v>Uma Shetty :HR Director</v>
      </c>
      <c r="AL24" s="39">
        <f t="shared" si="20"/>
        <v>11</v>
      </c>
      <c r="AM24" s="39" t="str">
        <f t="shared" ca="1" si="21"/>
        <v>14EXP</v>
      </c>
      <c r="AN24" s="39">
        <f t="shared" ca="1" si="22"/>
        <v>1</v>
      </c>
      <c r="AO24" s="39" t="str">
        <f t="shared" ca="1" si="23"/>
        <v>1ExprienceP</v>
      </c>
      <c r="AP24" s="39"/>
      <c r="AQ24" s="39" t="str">
        <f t="shared" ca="1" si="24"/>
        <v>EXP</v>
      </c>
      <c r="AR24" s="39"/>
      <c r="AS24" s="39"/>
    </row>
    <row r="25" spans="1:45" ht="25.5" x14ac:dyDescent="0.25">
      <c r="A25" s="2" t="s">
        <v>164</v>
      </c>
      <c r="B25" s="3" t="s">
        <v>165</v>
      </c>
      <c r="C25" s="3" t="s">
        <v>316</v>
      </c>
      <c r="D25" s="60" t="s">
        <v>391</v>
      </c>
      <c r="E25" s="2" t="s">
        <v>25</v>
      </c>
      <c r="F25" s="6" t="str">
        <f t="shared" si="25"/>
        <v>backend developer</v>
      </c>
      <c r="G25" s="3" t="s">
        <v>166</v>
      </c>
      <c r="H25" s="2" t="s">
        <v>26</v>
      </c>
      <c r="I25" s="2">
        <v>31</v>
      </c>
      <c r="J25" s="4" t="s">
        <v>167</v>
      </c>
      <c r="K25" s="2">
        <f t="shared" ca="1" si="1"/>
        <v>5</v>
      </c>
      <c r="L25" s="2" t="s">
        <v>168</v>
      </c>
      <c r="M25" s="5">
        <v>82000</v>
      </c>
      <c r="N25" s="5">
        <v>32800</v>
      </c>
      <c r="O25" s="5">
        <f t="shared" si="2"/>
        <v>16400</v>
      </c>
      <c r="P25" s="5">
        <f t="shared" si="3"/>
        <v>131200</v>
      </c>
      <c r="Q25" s="5">
        <f t="shared" si="4"/>
        <v>13120</v>
      </c>
      <c r="R25" s="5">
        <f t="shared" si="5"/>
        <v>118080</v>
      </c>
      <c r="S25" s="2" t="s">
        <v>38</v>
      </c>
      <c r="T25" s="2">
        <v>4</v>
      </c>
      <c r="U25" s="5">
        <f t="shared" si="6"/>
        <v>6560</v>
      </c>
      <c r="V25" s="3" t="str">
        <f t="shared" si="7"/>
        <v>varun.malhotra@company.com</v>
      </c>
      <c r="W25" s="2" t="s">
        <v>169</v>
      </c>
      <c r="X25" s="2" t="str">
        <f t="shared" si="8"/>
        <v>Aug-2020</v>
      </c>
      <c r="Y25" s="2" t="str">
        <f t="shared" si="9"/>
        <v>Senior</v>
      </c>
      <c r="Z25" s="33" t="str">
        <f t="shared" si="11"/>
        <v>VARUN MALHOTRA</v>
      </c>
      <c r="AA25" s="33" t="str">
        <f t="shared" si="12"/>
        <v>varun.malhotra@company.com</v>
      </c>
      <c r="AB25" s="34" t="str">
        <f t="shared" si="26"/>
        <v>Backend Developer</v>
      </c>
      <c r="AC25" s="39" t="str">
        <f t="shared" si="13"/>
        <v>สี่บาทถ้วน</v>
      </c>
      <c r="AD25" s="39" t="str">
        <f t="shared" si="14"/>
        <v>V</v>
      </c>
      <c r="AE25" s="39">
        <f t="shared" si="15"/>
        <v>86</v>
      </c>
      <c r="AF25" s="39" t="str">
        <f t="shared" si="16"/>
        <v>V</v>
      </c>
      <c r="AG25" s="39"/>
      <c r="AH25" s="39"/>
      <c r="AI25" s="39" t="str">
        <f t="shared" si="17"/>
        <v>₹ 86.00</v>
      </c>
      <c r="AJ25" s="39" t="b">
        <f t="shared" si="18"/>
        <v>1</v>
      </c>
      <c r="AK25" s="39" t="str">
        <f t="shared" si="19"/>
        <v>Varun Malhotra :Backend Developer</v>
      </c>
      <c r="AL25" s="39">
        <f t="shared" si="20"/>
        <v>4</v>
      </c>
      <c r="AM25" s="39" t="str">
        <f t="shared" ca="1" si="21"/>
        <v>5EXP</v>
      </c>
      <c r="AN25" s="39">
        <f t="shared" ca="1" si="22"/>
        <v>5</v>
      </c>
      <c r="AO25" s="39" t="str">
        <f t="shared" ca="1" si="23"/>
        <v>5Exprience</v>
      </c>
      <c r="AP25" s="39"/>
      <c r="AQ25" s="39" t="str">
        <f t="shared" ca="1" si="24"/>
        <v>EXP</v>
      </c>
      <c r="AR25" s="39"/>
      <c r="AS25" s="39"/>
    </row>
    <row r="26" spans="1:45" ht="25.5" x14ac:dyDescent="0.25">
      <c r="A26" s="6" t="s">
        <v>170</v>
      </c>
      <c r="B26" s="7" t="s">
        <v>171</v>
      </c>
      <c r="C26" s="7" t="s">
        <v>317</v>
      </c>
      <c r="D26" s="61" t="s">
        <v>392</v>
      </c>
      <c r="E26" s="6" t="s">
        <v>63</v>
      </c>
      <c r="F26" s="6" t="str">
        <f t="shared" si="25"/>
        <v>brand manager</v>
      </c>
      <c r="G26" s="7" t="s">
        <v>172</v>
      </c>
      <c r="H26" s="6" t="s">
        <v>26</v>
      </c>
      <c r="I26" s="6">
        <v>34</v>
      </c>
      <c r="J26" s="8" t="s">
        <v>173</v>
      </c>
      <c r="K26" s="6">
        <f t="shared" ca="1" si="1"/>
        <v>8</v>
      </c>
      <c r="L26" s="6" t="s">
        <v>85</v>
      </c>
      <c r="M26" s="9">
        <v>77000</v>
      </c>
      <c r="N26" s="9">
        <v>30800</v>
      </c>
      <c r="O26" s="9">
        <f t="shared" si="2"/>
        <v>15400</v>
      </c>
      <c r="P26" s="9">
        <f t="shared" si="3"/>
        <v>123200</v>
      </c>
      <c r="Q26" s="9">
        <f t="shared" si="4"/>
        <v>12320</v>
      </c>
      <c r="R26" s="9">
        <f t="shared" si="5"/>
        <v>110880</v>
      </c>
      <c r="S26" s="6" t="s">
        <v>29</v>
      </c>
      <c r="T26" s="6">
        <v>4</v>
      </c>
      <c r="U26" s="9">
        <f t="shared" si="6"/>
        <v>6160</v>
      </c>
      <c r="V26" s="7" t="str">
        <f t="shared" si="7"/>
        <v>waqar.hussain@company.com</v>
      </c>
      <c r="W26" s="6" t="s">
        <v>174</v>
      </c>
      <c r="X26" s="6" t="str">
        <f t="shared" si="8"/>
        <v>Feb-2018</v>
      </c>
      <c r="Y26" s="6" t="str">
        <f t="shared" si="9"/>
        <v>Mid-Level</v>
      </c>
      <c r="Z26" s="33" t="str">
        <f t="shared" si="11"/>
        <v>WAQAR HUSSAIN</v>
      </c>
      <c r="AA26" s="33" t="str">
        <f t="shared" si="12"/>
        <v>waqar.hussain@company.com</v>
      </c>
      <c r="AB26" s="34" t="str">
        <f t="shared" si="26"/>
        <v>Brand Manager</v>
      </c>
      <c r="AC26" s="39" t="str">
        <f t="shared" si="13"/>
        <v>สี่บาทถ้วน</v>
      </c>
      <c r="AD26" s="39" t="str">
        <f t="shared" si="14"/>
        <v>W</v>
      </c>
      <c r="AE26" s="39">
        <f t="shared" si="15"/>
        <v>87</v>
      </c>
      <c r="AF26" s="39" t="str">
        <f t="shared" si="16"/>
        <v>W</v>
      </c>
      <c r="AG26" s="39"/>
      <c r="AH26" s="39"/>
      <c r="AI26" s="39" t="str">
        <f t="shared" si="17"/>
        <v>₹ 87.00</v>
      </c>
      <c r="AJ26" s="39" t="b">
        <f t="shared" si="18"/>
        <v>1</v>
      </c>
      <c r="AK26" s="39" t="str">
        <f t="shared" si="19"/>
        <v>Waqar Hussain :Brand Manager</v>
      </c>
      <c r="AL26" s="39">
        <f t="shared" si="20"/>
        <v>9</v>
      </c>
      <c r="AM26" s="39" t="str">
        <f t="shared" ca="1" si="21"/>
        <v>8EXP</v>
      </c>
      <c r="AN26" s="39">
        <f t="shared" ca="1" si="22"/>
        <v>8</v>
      </c>
      <c r="AO26" s="39" t="str">
        <f t="shared" ca="1" si="23"/>
        <v>8Exprience</v>
      </c>
      <c r="AP26" s="39"/>
      <c r="AQ26" s="39" t="str">
        <f t="shared" ca="1" si="24"/>
        <v>EXP</v>
      </c>
      <c r="AR26" s="39"/>
      <c r="AS26" s="39"/>
    </row>
    <row r="27" spans="1:45" x14ac:dyDescent="0.25">
      <c r="A27" s="2" t="s">
        <v>175</v>
      </c>
      <c r="B27" s="3" t="s">
        <v>176</v>
      </c>
      <c r="C27" s="3" t="s">
        <v>318</v>
      </c>
      <c r="D27" s="60" t="s">
        <v>393</v>
      </c>
      <c r="E27" s="2" t="s">
        <v>42</v>
      </c>
      <c r="F27" s="6" t="str">
        <f t="shared" si="25"/>
        <v>tax consultant</v>
      </c>
      <c r="G27" s="3" t="s">
        <v>177</v>
      </c>
      <c r="H27" s="2" t="s">
        <v>35</v>
      </c>
      <c r="I27" s="2">
        <v>30</v>
      </c>
      <c r="J27" s="4" t="s">
        <v>178</v>
      </c>
      <c r="K27" s="2">
        <f t="shared" ca="1" si="1"/>
        <v>6</v>
      </c>
      <c r="L27" s="2" t="s">
        <v>179</v>
      </c>
      <c r="M27" s="5">
        <v>69000</v>
      </c>
      <c r="N27" s="5">
        <v>27600</v>
      </c>
      <c r="O27" s="5">
        <f t="shared" si="2"/>
        <v>13800</v>
      </c>
      <c r="P27" s="5">
        <f t="shared" si="3"/>
        <v>110400</v>
      </c>
      <c r="Q27" s="5">
        <f t="shared" si="4"/>
        <v>11040</v>
      </c>
      <c r="R27" s="5">
        <f t="shared" si="5"/>
        <v>99360</v>
      </c>
      <c r="S27" s="2" t="s">
        <v>38</v>
      </c>
      <c r="T27" s="2">
        <v>4</v>
      </c>
      <c r="U27" s="5">
        <f t="shared" si="6"/>
        <v>5520</v>
      </c>
      <c r="V27" s="3" t="str">
        <f t="shared" si="7"/>
        <v>yamini.rao@company.com</v>
      </c>
      <c r="W27" s="2" t="s">
        <v>180</v>
      </c>
      <c r="X27" s="2" t="str">
        <f t="shared" si="8"/>
        <v>Oct-2019</v>
      </c>
      <c r="Y27" s="2" t="str">
        <f t="shared" si="9"/>
        <v>Mid-Level</v>
      </c>
      <c r="Z27" s="33" t="str">
        <f t="shared" si="11"/>
        <v>YAMINI RAO</v>
      </c>
      <c r="AA27" s="33" t="str">
        <f t="shared" si="12"/>
        <v>yamini.rao@company.com</v>
      </c>
      <c r="AB27" s="34" t="str">
        <f t="shared" si="26"/>
        <v>Tax Consultant</v>
      </c>
      <c r="AC27" s="39" t="str">
        <f t="shared" si="13"/>
        <v>สี่บาทถ้วน</v>
      </c>
      <c r="AD27" s="39" t="str">
        <f t="shared" si="14"/>
        <v>Y</v>
      </c>
      <c r="AE27" s="39">
        <f t="shared" si="15"/>
        <v>89</v>
      </c>
      <c r="AF27" s="39" t="str">
        <f t="shared" si="16"/>
        <v>Y</v>
      </c>
      <c r="AG27" s="39"/>
      <c r="AH27" s="39"/>
      <c r="AI27" s="39" t="str">
        <f t="shared" si="17"/>
        <v>₹ 89.00</v>
      </c>
      <c r="AJ27" s="39" t="b">
        <f t="shared" si="18"/>
        <v>1</v>
      </c>
      <c r="AK27" s="39" t="str">
        <f t="shared" si="19"/>
        <v>Yamini Rao :Tax Consultant</v>
      </c>
      <c r="AL27" s="39">
        <f t="shared" si="20"/>
        <v>4</v>
      </c>
      <c r="AM27" s="39" t="str">
        <f t="shared" ca="1" si="21"/>
        <v>6EXP</v>
      </c>
      <c r="AN27" s="39">
        <f t="shared" ca="1" si="22"/>
        <v>6</v>
      </c>
      <c r="AO27" s="39" t="str">
        <f t="shared" ca="1" si="23"/>
        <v>6Exprience</v>
      </c>
      <c r="AP27" s="39"/>
      <c r="AQ27" s="39" t="str">
        <f t="shared" ca="1" si="24"/>
        <v>EXP</v>
      </c>
      <c r="AR27" s="39"/>
      <c r="AS27" s="39"/>
    </row>
    <row r="28" spans="1:45" ht="25.5" x14ac:dyDescent="0.25">
      <c r="A28" s="6" t="s">
        <v>181</v>
      </c>
      <c r="B28" s="7" t="s">
        <v>182</v>
      </c>
      <c r="C28" s="7" t="s">
        <v>319</v>
      </c>
      <c r="D28" s="61" t="s">
        <v>394</v>
      </c>
      <c r="E28" s="6" t="s">
        <v>25</v>
      </c>
      <c r="F28" s="6" t="str">
        <f t="shared" si="25"/>
        <v>cyber security analyst</v>
      </c>
      <c r="G28" s="7" t="s">
        <v>183</v>
      </c>
      <c r="H28" s="6" t="s">
        <v>35</v>
      </c>
      <c r="I28" s="6">
        <v>29</v>
      </c>
      <c r="J28" s="8" t="s">
        <v>184</v>
      </c>
      <c r="K28" s="6">
        <f t="shared" ca="1" si="1"/>
        <v>5</v>
      </c>
      <c r="L28" s="6" t="s">
        <v>51</v>
      </c>
      <c r="M28" s="9">
        <v>85000</v>
      </c>
      <c r="N28" s="9">
        <v>34000</v>
      </c>
      <c r="O28" s="9">
        <f t="shared" si="2"/>
        <v>17000</v>
      </c>
      <c r="P28" s="9">
        <f t="shared" si="3"/>
        <v>136000</v>
      </c>
      <c r="Q28" s="9">
        <f t="shared" si="4"/>
        <v>13600</v>
      </c>
      <c r="R28" s="9">
        <f t="shared" si="5"/>
        <v>122400</v>
      </c>
      <c r="S28" s="6" t="s">
        <v>73</v>
      </c>
      <c r="T28" s="6">
        <v>5</v>
      </c>
      <c r="U28" s="9">
        <f t="shared" si="6"/>
        <v>6800</v>
      </c>
      <c r="V28" s="7" t="str">
        <f t="shared" si="7"/>
        <v>zara.ahmed@company.com</v>
      </c>
      <c r="W28" s="6" t="s">
        <v>185</v>
      </c>
      <c r="X28" s="6" t="str">
        <f t="shared" si="8"/>
        <v>Dec-2020</v>
      </c>
      <c r="Y28" s="6" t="str">
        <f t="shared" si="9"/>
        <v>Senior</v>
      </c>
      <c r="Z28" s="33" t="str">
        <f t="shared" si="11"/>
        <v>ZARA AHMED</v>
      </c>
      <c r="AA28" s="33" t="str">
        <f t="shared" si="12"/>
        <v>zara.ahmed@company.com</v>
      </c>
      <c r="AB28" s="34" t="str">
        <f t="shared" si="26"/>
        <v>Cyber Security Analyst</v>
      </c>
      <c r="AC28" s="39" t="str">
        <f t="shared" si="13"/>
        <v>ห้าบาทถ้วน</v>
      </c>
      <c r="AD28" s="39" t="str">
        <f t="shared" si="14"/>
        <v>Z</v>
      </c>
      <c r="AE28" s="39">
        <f t="shared" si="15"/>
        <v>90</v>
      </c>
      <c r="AF28" s="39" t="str">
        <f t="shared" si="16"/>
        <v>Z</v>
      </c>
      <c r="AG28" s="39"/>
      <c r="AH28" s="39"/>
      <c r="AI28" s="39" t="str">
        <f t="shared" si="17"/>
        <v>₹ 90.00</v>
      </c>
      <c r="AJ28" s="39" t="b">
        <f t="shared" si="18"/>
        <v>1</v>
      </c>
      <c r="AK28" s="39" t="str">
        <f t="shared" si="19"/>
        <v>Zara Ahmed :Cyber Security Analyst</v>
      </c>
      <c r="AL28" s="39">
        <f t="shared" si="20"/>
        <v>11</v>
      </c>
      <c r="AM28" s="39" t="str">
        <f t="shared" ca="1" si="21"/>
        <v>5EXP</v>
      </c>
      <c r="AN28" s="39">
        <f t="shared" ca="1" si="22"/>
        <v>5</v>
      </c>
      <c r="AO28" s="39" t="str">
        <f t="shared" ca="1" si="23"/>
        <v>5Exprience</v>
      </c>
      <c r="AP28" s="39"/>
      <c r="AQ28" s="39" t="str">
        <f t="shared" ca="1" si="24"/>
        <v>EXP</v>
      </c>
      <c r="AR28" s="39"/>
      <c r="AS28" s="39"/>
    </row>
    <row r="29" spans="1:45" ht="25.5" x14ac:dyDescent="0.25">
      <c r="A29" s="2" t="s">
        <v>186</v>
      </c>
      <c r="B29" s="3" t="s">
        <v>187</v>
      </c>
      <c r="C29" s="3" t="s">
        <v>320</v>
      </c>
      <c r="D29" s="60" t="s">
        <v>395</v>
      </c>
      <c r="E29" s="2" t="s">
        <v>55</v>
      </c>
      <c r="F29" s="6" t="str">
        <f t="shared" si="25"/>
        <v>business developer</v>
      </c>
      <c r="G29" s="3" t="s">
        <v>188</v>
      </c>
      <c r="H29" s="2" t="s">
        <v>26</v>
      </c>
      <c r="I29" s="2">
        <v>33</v>
      </c>
      <c r="J29" s="4" t="s">
        <v>189</v>
      </c>
      <c r="K29" s="2">
        <f t="shared" ca="1" si="1"/>
        <v>7</v>
      </c>
      <c r="L29" s="2" t="s">
        <v>190</v>
      </c>
      <c r="M29" s="5">
        <v>58000</v>
      </c>
      <c r="N29" s="5">
        <v>23200</v>
      </c>
      <c r="O29" s="5">
        <f t="shared" si="2"/>
        <v>11600</v>
      </c>
      <c r="P29" s="5">
        <f t="shared" si="3"/>
        <v>92800</v>
      </c>
      <c r="Q29" s="5">
        <f t="shared" si="4"/>
        <v>9280</v>
      </c>
      <c r="R29" s="5">
        <f t="shared" si="5"/>
        <v>83520</v>
      </c>
      <c r="S29" s="2" t="s">
        <v>59</v>
      </c>
      <c r="T29" s="2">
        <v>3</v>
      </c>
      <c r="U29" s="5">
        <f t="shared" si="6"/>
        <v>1856</v>
      </c>
      <c r="V29" s="3" t="str">
        <f t="shared" si="7"/>
        <v>ajay.choudhary@company.com</v>
      </c>
      <c r="W29" s="2" t="s">
        <v>191</v>
      </c>
      <c r="X29" s="2" t="str">
        <f t="shared" si="8"/>
        <v>Jun-2018</v>
      </c>
      <c r="Y29" s="2" t="str">
        <f t="shared" si="9"/>
        <v>Junior</v>
      </c>
      <c r="Z29" s="33" t="str">
        <f t="shared" si="11"/>
        <v>AJAY CHOUDHARY</v>
      </c>
      <c r="AA29" s="33" t="str">
        <f t="shared" si="12"/>
        <v>ajay.choudhary@company.com</v>
      </c>
      <c r="AB29" s="34" t="str">
        <f t="shared" si="26"/>
        <v>Business Developer</v>
      </c>
      <c r="AC29" s="39" t="str">
        <f t="shared" si="13"/>
        <v>สามบาทถ้วน</v>
      </c>
      <c r="AD29" s="39" t="str">
        <f t="shared" si="14"/>
        <v>A</v>
      </c>
      <c r="AE29" s="39">
        <f t="shared" si="15"/>
        <v>65</v>
      </c>
      <c r="AF29" s="39" t="str">
        <f t="shared" si="16"/>
        <v>A</v>
      </c>
      <c r="AG29" s="39"/>
      <c r="AH29" s="39"/>
      <c r="AI29" s="39" t="str">
        <f t="shared" si="17"/>
        <v>₹ 65.00</v>
      </c>
      <c r="AJ29" s="39" t="b">
        <f t="shared" si="18"/>
        <v>1</v>
      </c>
      <c r="AK29" s="39" t="str">
        <f t="shared" si="19"/>
        <v>Ajay Choudhary :Business Developer</v>
      </c>
      <c r="AL29" s="39">
        <f t="shared" si="20"/>
        <v>7</v>
      </c>
      <c r="AM29" s="39" t="str">
        <f t="shared" ca="1" si="21"/>
        <v>7EXP</v>
      </c>
      <c r="AN29" s="39">
        <f t="shared" ca="1" si="22"/>
        <v>7</v>
      </c>
      <c r="AO29" s="39" t="str">
        <f t="shared" ca="1" si="23"/>
        <v>7Exprience</v>
      </c>
      <c r="AP29" s="39"/>
      <c r="AQ29" s="39" t="str">
        <f t="shared" ca="1" si="24"/>
        <v>EXP</v>
      </c>
      <c r="AR29" s="39"/>
      <c r="AS29" s="39"/>
    </row>
    <row r="30" spans="1:45" x14ac:dyDescent="0.25">
      <c r="A30" s="6" t="s">
        <v>192</v>
      </c>
      <c r="B30" s="7" t="s">
        <v>193</v>
      </c>
      <c r="C30" s="7" t="s">
        <v>321</v>
      </c>
      <c r="D30" s="61" t="s">
        <v>396</v>
      </c>
      <c r="E30" s="6" t="s">
        <v>42</v>
      </c>
      <c r="F30" s="6" t="str">
        <f t="shared" si="25"/>
        <v>payroll specialist</v>
      </c>
      <c r="G30" s="7" t="s">
        <v>194</v>
      </c>
      <c r="H30" s="6" t="s">
        <v>35</v>
      </c>
      <c r="I30" s="6">
        <v>28</v>
      </c>
      <c r="J30" s="8" t="s">
        <v>195</v>
      </c>
      <c r="K30" s="6">
        <f t="shared" ca="1" si="1"/>
        <v>4</v>
      </c>
      <c r="L30" s="6" t="s">
        <v>58</v>
      </c>
      <c r="M30" s="9">
        <v>61000</v>
      </c>
      <c r="N30" s="9">
        <v>24400</v>
      </c>
      <c r="O30" s="9">
        <f t="shared" si="2"/>
        <v>12200</v>
      </c>
      <c r="P30" s="9">
        <f t="shared" si="3"/>
        <v>97600</v>
      </c>
      <c r="Q30" s="9">
        <f t="shared" si="4"/>
        <v>9760</v>
      </c>
      <c r="R30" s="9">
        <f t="shared" si="5"/>
        <v>87840</v>
      </c>
      <c r="S30" s="6" t="s">
        <v>38</v>
      </c>
      <c r="T30" s="6">
        <v>4</v>
      </c>
      <c r="U30" s="9">
        <f t="shared" si="6"/>
        <v>4880</v>
      </c>
      <c r="V30" s="7" t="str">
        <f t="shared" si="7"/>
        <v>bharti.trivedi@company.com</v>
      </c>
      <c r="W30" s="6" t="s">
        <v>196</v>
      </c>
      <c r="X30" s="6" t="str">
        <f t="shared" si="8"/>
        <v>Apr-2022</v>
      </c>
      <c r="Y30" s="6" t="str">
        <f t="shared" si="9"/>
        <v>Mid-Level</v>
      </c>
      <c r="Z30" s="33" t="str">
        <f t="shared" si="11"/>
        <v>BHARTI TRIVEDI</v>
      </c>
      <c r="AA30" s="33" t="str">
        <f t="shared" si="12"/>
        <v>bharti.trivedi@company.com</v>
      </c>
      <c r="AB30" s="34" t="str">
        <f t="shared" si="26"/>
        <v>Payroll Specialist</v>
      </c>
      <c r="AC30" s="39" t="str">
        <f t="shared" si="13"/>
        <v>สี่บาทถ้วน</v>
      </c>
      <c r="AD30" s="39" t="str">
        <f t="shared" si="14"/>
        <v>B</v>
      </c>
      <c r="AE30" s="39">
        <f t="shared" si="15"/>
        <v>66</v>
      </c>
      <c r="AF30" s="39" t="str">
        <f t="shared" si="16"/>
        <v>B</v>
      </c>
      <c r="AG30" s="39"/>
      <c r="AH30" s="39"/>
      <c r="AI30" s="39" t="str">
        <f t="shared" si="17"/>
        <v>₹ 66.00</v>
      </c>
      <c r="AJ30" s="39" t="b">
        <f t="shared" si="18"/>
        <v>1</v>
      </c>
      <c r="AK30" s="39" t="str">
        <f t="shared" si="19"/>
        <v>Bharti Trivedi :Payroll Specialist</v>
      </c>
      <c r="AL30" s="39">
        <f t="shared" si="20"/>
        <v>4</v>
      </c>
      <c r="AM30" s="39" t="str">
        <f t="shared" ca="1" si="21"/>
        <v>4EXP</v>
      </c>
      <c r="AN30" s="39">
        <f t="shared" ca="1" si="22"/>
        <v>4</v>
      </c>
      <c r="AO30" s="39" t="str">
        <f t="shared" ca="1" si="23"/>
        <v>4Exprience</v>
      </c>
      <c r="AP30" s="39"/>
      <c r="AQ30" s="39" t="str">
        <f t="shared" ca="1" si="24"/>
        <v>EXP</v>
      </c>
      <c r="AR30" s="39"/>
      <c r="AS30" s="39"/>
    </row>
    <row r="31" spans="1:45" ht="25.5" x14ac:dyDescent="0.25">
      <c r="A31" s="2" t="s">
        <v>197</v>
      </c>
      <c r="B31" s="3" t="s">
        <v>198</v>
      </c>
      <c r="C31" s="3" t="s">
        <v>322</v>
      </c>
      <c r="D31" s="60" t="s">
        <v>397</v>
      </c>
      <c r="E31" s="2" t="s">
        <v>25</v>
      </c>
      <c r="F31" s="6" t="str">
        <f t="shared" si="25"/>
        <v>machine learning eng</v>
      </c>
      <c r="G31" s="3" t="s">
        <v>199</v>
      </c>
      <c r="H31" s="2" t="s">
        <v>26</v>
      </c>
      <c r="I31" s="2">
        <v>30</v>
      </c>
      <c r="J31" s="4" t="s">
        <v>200</v>
      </c>
      <c r="K31" s="2">
        <f t="shared" ca="1" si="1"/>
        <v>5</v>
      </c>
      <c r="L31" s="2" t="s">
        <v>79</v>
      </c>
      <c r="M31" s="5">
        <v>95000</v>
      </c>
      <c r="N31" s="5">
        <v>38000</v>
      </c>
      <c r="O31" s="5">
        <f t="shared" si="2"/>
        <v>19000</v>
      </c>
      <c r="P31" s="5">
        <f t="shared" si="3"/>
        <v>152000</v>
      </c>
      <c r="Q31" s="5">
        <f t="shared" si="4"/>
        <v>15200</v>
      </c>
      <c r="R31" s="5">
        <f t="shared" si="5"/>
        <v>136800</v>
      </c>
      <c r="S31" s="2" t="s">
        <v>73</v>
      </c>
      <c r="T31" s="2">
        <v>5</v>
      </c>
      <c r="U31" s="5">
        <f t="shared" si="6"/>
        <v>7600</v>
      </c>
      <c r="V31" s="3" t="str">
        <f t="shared" si="7"/>
        <v>chetan.rawat@company.com</v>
      </c>
      <c r="W31" s="2" t="s">
        <v>201</v>
      </c>
      <c r="X31" s="2" t="str">
        <f t="shared" si="8"/>
        <v>Mar-2021</v>
      </c>
      <c r="Y31" s="2" t="str">
        <f t="shared" si="9"/>
        <v>Senior</v>
      </c>
      <c r="Z31" s="33" t="str">
        <f t="shared" si="11"/>
        <v>CHETAN RAWAT</v>
      </c>
      <c r="AA31" s="33" t="str">
        <f t="shared" si="12"/>
        <v>chetan.rawat@company.com</v>
      </c>
      <c r="AB31" s="34" t="str">
        <f t="shared" si="26"/>
        <v>Machine Learning Eng</v>
      </c>
      <c r="AC31" s="39" t="str">
        <f t="shared" si="13"/>
        <v>ห้าบาทถ้วน</v>
      </c>
      <c r="AD31" s="39" t="str">
        <f t="shared" si="14"/>
        <v>C</v>
      </c>
      <c r="AE31" s="39">
        <f t="shared" si="15"/>
        <v>67</v>
      </c>
      <c r="AF31" s="39" t="str">
        <f t="shared" si="16"/>
        <v>C</v>
      </c>
      <c r="AG31" s="39"/>
      <c r="AH31" s="39"/>
      <c r="AI31" s="39" t="str">
        <f t="shared" si="17"/>
        <v>₹ 67.00</v>
      </c>
      <c r="AJ31" s="39" t="b">
        <f t="shared" si="18"/>
        <v>1</v>
      </c>
      <c r="AK31" s="39" t="str">
        <f t="shared" si="19"/>
        <v>Chetan Rawat :Machine Learning Eng</v>
      </c>
      <c r="AL31" s="39">
        <f t="shared" si="20"/>
        <v>11</v>
      </c>
      <c r="AM31" s="39" t="str">
        <f t="shared" ca="1" si="21"/>
        <v>5EXP</v>
      </c>
      <c r="AN31" s="39">
        <f t="shared" ca="1" si="22"/>
        <v>5</v>
      </c>
      <c r="AO31" s="39" t="str">
        <f t="shared" ca="1" si="23"/>
        <v>5Exprience</v>
      </c>
      <c r="AP31" s="39"/>
      <c r="AQ31" s="39" t="str">
        <f t="shared" ca="1" si="24"/>
        <v>EXP</v>
      </c>
      <c r="AR31" s="39"/>
      <c r="AS31" s="39"/>
    </row>
    <row r="32" spans="1:45" ht="25.5" x14ac:dyDescent="0.25">
      <c r="A32" s="6" t="s">
        <v>202</v>
      </c>
      <c r="B32" s="7" t="s">
        <v>203</v>
      </c>
      <c r="C32" s="7" t="s">
        <v>323</v>
      </c>
      <c r="D32" s="61" t="s">
        <v>398</v>
      </c>
      <c r="E32" s="6" t="s">
        <v>63</v>
      </c>
      <c r="F32" s="6" t="str">
        <f t="shared" si="25"/>
        <v>digital marketing mgr</v>
      </c>
      <c r="G32" s="7" t="s">
        <v>204</v>
      </c>
      <c r="H32" s="6" t="s">
        <v>35</v>
      </c>
      <c r="I32" s="6">
        <v>36</v>
      </c>
      <c r="J32" s="8" t="s">
        <v>205</v>
      </c>
      <c r="K32" s="6">
        <f t="shared" ca="1" si="1"/>
        <v>8</v>
      </c>
      <c r="L32" s="6" t="s">
        <v>97</v>
      </c>
      <c r="M32" s="9">
        <v>83000</v>
      </c>
      <c r="N32" s="9">
        <v>33200</v>
      </c>
      <c r="O32" s="9">
        <f t="shared" si="2"/>
        <v>16600</v>
      </c>
      <c r="P32" s="9">
        <f t="shared" si="3"/>
        <v>132800</v>
      </c>
      <c r="Q32" s="9">
        <f t="shared" si="4"/>
        <v>13280</v>
      </c>
      <c r="R32" s="9">
        <f t="shared" si="5"/>
        <v>119520</v>
      </c>
      <c r="S32" s="6" t="s">
        <v>29</v>
      </c>
      <c r="T32" s="6">
        <v>4</v>
      </c>
      <c r="U32" s="9">
        <f t="shared" si="6"/>
        <v>6640</v>
      </c>
      <c r="V32" s="7" t="str">
        <f t="shared" si="7"/>
        <v>deepa.krishnan@company.com</v>
      </c>
      <c r="W32" s="6" t="s">
        <v>206</v>
      </c>
      <c r="X32" s="6" t="str">
        <f t="shared" si="8"/>
        <v>Jul-2017</v>
      </c>
      <c r="Y32" s="6" t="str">
        <f t="shared" si="9"/>
        <v>Senior</v>
      </c>
      <c r="Z32" s="33" t="str">
        <f t="shared" si="11"/>
        <v>DEEPA KRISHNAN</v>
      </c>
      <c r="AA32" s="33" t="str">
        <f t="shared" si="12"/>
        <v>deepa.krishnan@company.com</v>
      </c>
      <c r="AB32" s="34" t="str">
        <f t="shared" si="26"/>
        <v>Digital Marketing Mgr</v>
      </c>
      <c r="AC32" s="39" t="str">
        <f t="shared" si="13"/>
        <v>สี่บาทถ้วน</v>
      </c>
      <c r="AD32" s="39" t="str">
        <f t="shared" si="14"/>
        <v>D</v>
      </c>
      <c r="AE32" s="39">
        <f t="shared" si="15"/>
        <v>68</v>
      </c>
      <c r="AF32" s="39" t="str">
        <f t="shared" si="16"/>
        <v>D</v>
      </c>
      <c r="AG32" s="39"/>
      <c r="AH32" s="39"/>
      <c r="AI32" s="39" t="str">
        <f t="shared" si="17"/>
        <v>₹ 68.00</v>
      </c>
      <c r="AJ32" s="39" t="b">
        <f t="shared" si="18"/>
        <v>1</v>
      </c>
      <c r="AK32" s="39" t="str">
        <f t="shared" si="19"/>
        <v>Deepa Krishnan :Digital Marketing Mgr</v>
      </c>
      <c r="AL32" s="39">
        <f t="shared" si="20"/>
        <v>9</v>
      </c>
      <c r="AM32" s="39" t="str">
        <f t="shared" ca="1" si="21"/>
        <v>8EXP</v>
      </c>
      <c r="AN32" s="39">
        <f t="shared" ca="1" si="22"/>
        <v>8</v>
      </c>
      <c r="AO32" s="39" t="str">
        <f t="shared" ca="1" si="23"/>
        <v>8Exprience</v>
      </c>
      <c r="AP32" s="39"/>
      <c r="AQ32" s="39" t="str">
        <f t="shared" ca="1" si="24"/>
        <v>EXP</v>
      </c>
      <c r="AR32" s="39"/>
      <c r="AS32" s="39"/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7610F3-913D-4826-A40B-9636480BCB65}">
  <dimension ref="A1:AB31"/>
  <sheetViews>
    <sheetView topLeftCell="M13" zoomScale="115" zoomScaleNormal="115" workbookViewId="0">
      <selection sqref="A1:V31"/>
    </sheetView>
  </sheetViews>
  <sheetFormatPr defaultRowHeight="15" x14ac:dyDescent="0.25"/>
  <cols>
    <col min="1" max="18" width="20.7109375" customWidth="1"/>
    <col min="19" max="19" width="26.42578125" bestFit="1" customWidth="1"/>
    <col min="20" max="22" width="20.7109375" customWidth="1"/>
    <col min="23" max="28" width="20.7109375" style="31" customWidth="1"/>
    <col min="29" max="29" width="18.28515625" customWidth="1"/>
  </cols>
  <sheetData>
    <row r="1" spans="1:28" x14ac:dyDescent="0.25">
      <c r="A1" s="40" t="s">
        <v>1</v>
      </c>
      <c r="B1" s="40" t="s">
        <v>2</v>
      </c>
      <c r="C1" s="40" t="s">
        <v>3</v>
      </c>
      <c r="D1" s="40" t="s">
        <v>4</v>
      </c>
      <c r="E1" s="40" t="s">
        <v>5</v>
      </c>
      <c r="F1" s="40" t="s">
        <v>6</v>
      </c>
      <c r="G1" s="40" t="s">
        <v>7</v>
      </c>
      <c r="H1" s="40" t="s">
        <v>8</v>
      </c>
      <c r="I1" s="40" t="s">
        <v>9</v>
      </c>
      <c r="J1" s="40" t="s">
        <v>10</v>
      </c>
      <c r="K1" s="40" t="s">
        <v>11</v>
      </c>
      <c r="L1" s="40" t="s">
        <v>12</v>
      </c>
      <c r="M1" s="40" t="s">
        <v>13</v>
      </c>
      <c r="N1" s="40" t="s">
        <v>14</v>
      </c>
      <c r="O1" s="40" t="s">
        <v>15</v>
      </c>
      <c r="P1" s="40" t="s">
        <v>16</v>
      </c>
      <c r="Q1" s="40" t="s">
        <v>17</v>
      </c>
      <c r="R1" s="40" t="s">
        <v>18</v>
      </c>
      <c r="S1" s="40" t="s">
        <v>19</v>
      </c>
      <c r="T1" s="40" t="s">
        <v>20</v>
      </c>
      <c r="U1" s="40" t="s">
        <v>21</v>
      </c>
      <c r="V1" s="40" t="s">
        <v>22</v>
      </c>
      <c r="W1" s="47"/>
      <c r="X1" s="47"/>
      <c r="Y1" s="47"/>
      <c r="Z1" s="47"/>
      <c r="AA1" s="47"/>
      <c r="AB1" s="47"/>
    </row>
    <row r="2" spans="1:28" x14ac:dyDescent="0.25">
      <c r="A2" s="41" t="s">
        <v>23</v>
      </c>
      <c r="B2" s="3" t="s">
        <v>24</v>
      </c>
      <c r="C2" s="41" t="s">
        <v>25</v>
      </c>
      <c r="D2" s="3" t="s">
        <v>303</v>
      </c>
      <c r="E2" s="41" t="s">
        <v>26</v>
      </c>
      <c r="F2" s="41">
        <v>28</v>
      </c>
      <c r="G2" s="43" t="s">
        <v>27</v>
      </c>
      <c r="H2" s="41">
        <f t="shared" ref="H2:H31" ca="1" si="0">DATEDIF(G2,TODAY(),"Y")</f>
        <v>7</v>
      </c>
      <c r="I2" s="41" t="s">
        <v>28</v>
      </c>
      <c r="J2" s="44">
        <v>65000</v>
      </c>
      <c r="K2" s="44">
        <v>26000</v>
      </c>
      <c r="L2" s="44">
        <f t="shared" ref="L2:L31" si="1">J2*0.2</f>
        <v>13000</v>
      </c>
      <c r="M2" s="44">
        <f t="shared" ref="M2:M31" si="2">J2+K2+L2</f>
        <v>104000</v>
      </c>
      <c r="N2" s="44">
        <f t="shared" ref="N2:N31" si="3">M2*0.1</f>
        <v>10400</v>
      </c>
      <c r="O2" s="44">
        <f t="shared" ref="O2:O31" si="4">M2-N2</f>
        <v>93600</v>
      </c>
      <c r="P2" s="41" t="s">
        <v>29</v>
      </c>
      <c r="Q2" s="41">
        <v>4</v>
      </c>
      <c r="R2" s="44">
        <f t="shared" ref="R2:R31" si="5">IF(Q2&gt;=4,M2*0.05,M2*0.02)</f>
        <v>5200</v>
      </c>
      <c r="S2" s="3" t="str">
        <f t="shared" ref="S2:S31" si="6">LOWER(LEFT(B2,FIND(" ",B2)-1))&amp;"."&amp;LOWER(MID(B2,FIND(" ",B2)+1,100))&amp;"@company.com"</f>
        <v>aarav.sharma@company.com</v>
      </c>
      <c r="T2" s="41" t="s">
        <v>30</v>
      </c>
      <c r="U2" s="41" t="str">
        <f t="shared" ref="U2:U31" si="7">TEXT(G2,"MMM-YYYY")</f>
        <v>Mar-2019</v>
      </c>
      <c r="V2" s="41" t="str">
        <f t="shared" ref="V2:V31" si="8">IF(J2&gt;=100000,"Executive",IF(J2&gt;=80000,"Senior",IF(J2&gt;=60000,"Mid-Level","Junior")))</f>
        <v>Mid-Level</v>
      </c>
      <c r="W2" s="48"/>
      <c r="X2" s="48"/>
      <c r="Y2" s="48"/>
      <c r="Z2" s="48"/>
      <c r="AA2" s="48"/>
      <c r="AB2" s="48"/>
    </row>
    <row r="3" spans="1:28" x14ac:dyDescent="0.25">
      <c r="A3" s="42" t="s">
        <v>31</v>
      </c>
      <c r="B3" s="7" t="s">
        <v>32</v>
      </c>
      <c r="C3" s="42" t="s">
        <v>33</v>
      </c>
      <c r="D3" s="7" t="s">
        <v>34</v>
      </c>
      <c r="E3" s="42" t="s">
        <v>35</v>
      </c>
      <c r="F3" s="42">
        <v>35</v>
      </c>
      <c r="G3" s="45" t="s">
        <v>36</v>
      </c>
      <c r="H3" s="42">
        <f t="shared" ca="1" si="0"/>
        <v>8</v>
      </c>
      <c r="I3" s="42" t="s">
        <v>37</v>
      </c>
      <c r="J3" s="46">
        <v>72000</v>
      </c>
      <c r="K3" s="46">
        <v>28800</v>
      </c>
      <c r="L3" s="46">
        <f t="shared" si="1"/>
        <v>14400</v>
      </c>
      <c r="M3" s="46">
        <f t="shared" si="2"/>
        <v>115200</v>
      </c>
      <c r="N3" s="46">
        <f t="shared" si="3"/>
        <v>11520</v>
      </c>
      <c r="O3" s="46">
        <f t="shared" si="4"/>
        <v>103680</v>
      </c>
      <c r="P3" s="42" t="s">
        <v>38</v>
      </c>
      <c r="Q3" s="42">
        <v>3</v>
      </c>
      <c r="R3" s="46">
        <f t="shared" si="5"/>
        <v>2304</v>
      </c>
      <c r="S3" s="7" t="str">
        <f t="shared" si="6"/>
        <v>priya.patel@company.com</v>
      </c>
      <c r="T3" s="42" t="s">
        <v>39</v>
      </c>
      <c r="U3" s="42" t="str">
        <f t="shared" si="7"/>
        <v>Jun-2017</v>
      </c>
      <c r="V3" s="42" t="str">
        <f t="shared" si="8"/>
        <v>Mid-Level</v>
      </c>
      <c r="W3" s="49"/>
      <c r="X3" s="49"/>
      <c r="Y3" s="49"/>
      <c r="Z3" s="49"/>
      <c r="AA3" s="49"/>
      <c r="AB3" s="49"/>
    </row>
    <row r="4" spans="1:28" x14ac:dyDescent="0.25">
      <c r="A4" s="41" t="s">
        <v>40</v>
      </c>
      <c r="B4" s="3" t="s">
        <v>41</v>
      </c>
      <c r="C4" s="41" t="s">
        <v>42</v>
      </c>
      <c r="D4" s="3" t="s">
        <v>43</v>
      </c>
      <c r="E4" s="41" t="s">
        <v>26</v>
      </c>
      <c r="F4" s="41">
        <v>32</v>
      </c>
      <c r="G4" s="43" t="s">
        <v>44</v>
      </c>
      <c r="H4" s="41">
        <f t="shared" ca="1" si="0"/>
        <v>7</v>
      </c>
      <c r="I4" s="41" t="s">
        <v>45</v>
      </c>
      <c r="J4" s="44">
        <v>68000</v>
      </c>
      <c r="K4" s="44">
        <v>27200</v>
      </c>
      <c r="L4" s="44">
        <f t="shared" si="1"/>
        <v>13600</v>
      </c>
      <c r="M4" s="44">
        <f t="shared" si="2"/>
        <v>108800</v>
      </c>
      <c r="N4" s="44">
        <f t="shared" si="3"/>
        <v>10880</v>
      </c>
      <c r="O4" s="44">
        <f t="shared" si="4"/>
        <v>97920</v>
      </c>
      <c r="P4" s="41" t="s">
        <v>29</v>
      </c>
      <c r="Q4" s="41">
        <v>5</v>
      </c>
      <c r="R4" s="44">
        <f t="shared" si="5"/>
        <v>5440</v>
      </c>
      <c r="S4" s="3" t="str">
        <f t="shared" si="6"/>
        <v>rohit.mehta@company.com</v>
      </c>
      <c r="T4" s="41" t="s">
        <v>46</v>
      </c>
      <c r="U4" s="41" t="str">
        <f t="shared" si="7"/>
        <v>Sep-2018</v>
      </c>
      <c r="V4" s="41" t="str">
        <f t="shared" si="8"/>
        <v>Mid-Level</v>
      </c>
      <c r="W4" s="48"/>
      <c r="X4" s="48"/>
      <c r="Y4" s="48"/>
      <c r="Z4" s="48"/>
      <c r="AA4" s="48"/>
      <c r="AB4" s="48"/>
    </row>
    <row r="5" spans="1:28" x14ac:dyDescent="0.25">
      <c r="A5" s="42" t="s">
        <v>47</v>
      </c>
      <c r="B5" s="7" t="s">
        <v>48</v>
      </c>
      <c r="C5" s="42" t="s">
        <v>25</v>
      </c>
      <c r="D5" s="7" t="s">
        <v>49</v>
      </c>
      <c r="E5" s="42" t="s">
        <v>35</v>
      </c>
      <c r="F5" s="42">
        <v>26</v>
      </c>
      <c r="G5" s="45" t="s">
        <v>50</v>
      </c>
      <c r="H5" s="42">
        <f t="shared" ca="1" si="0"/>
        <v>5</v>
      </c>
      <c r="I5" s="42" t="s">
        <v>51</v>
      </c>
      <c r="J5" s="46">
        <v>70000</v>
      </c>
      <c r="K5" s="46">
        <v>28000</v>
      </c>
      <c r="L5" s="46">
        <f t="shared" si="1"/>
        <v>14000</v>
      </c>
      <c r="M5" s="46">
        <f t="shared" si="2"/>
        <v>112000</v>
      </c>
      <c r="N5" s="46">
        <f t="shared" si="3"/>
        <v>11200</v>
      </c>
      <c r="O5" s="46">
        <f t="shared" si="4"/>
        <v>100800</v>
      </c>
      <c r="P5" s="42" t="s">
        <v>38</v>
      </c>
      <c r="Q5" s="42">
        <v>4</v>
      </c>
      <c r="R5" s="46">
        <f t="shared" si="5"/>
        <v>5600</v>
      </c>
      <c r="S5" s="7" t="str">
        <f t="shared" si="6"/>
        <v>sneha.reddy@company.com</v>
      </c>
      <c r="T5" s="42" t="s">
        <v>52</v>
      </c>
      <c r="U5" s="42" t="str">
        <f t="shared" si="7"/>
        <v>Jan-2021</v>
      </c>
      <c r="V5" s="42" t="str">
        <f t="shared" si="8"/>
        <v>Mid-Level</v>
      </c>
      <c r="W5" s="49"/>
      <c r="X5" s="49" t="s">
        <v>304</v>
      </c>
      <c r="Y5" s="49" t="s">
        <v>141</v>
      </c>
      <c r="Z5" s="49"/>
      <c r="AA5" s="49"/>
      <c r="AB5" s="49"/>
    </row>
    <row r="6" spans="1:28" x14ac:dyDescent="0.25">
      <c r="A6" s="41" t="s">
        <v>53</v>
      </c>
      <c r="B6" s="3" t="s">
        <v>54</v>
      </c>
      <c r="C6" s="41" t="s">
        <v>55</v>
      </c>
      <c r="D6" s="3" t="s">
        <v>56</v>
      </c>
      <c r="E6" s="41" t="s">
        <v>26</v>
      </c>
      <c r="F6" s="41">
        <v>30</v>
      </c>
      <c r="G6" s="43" t="s">
        <v>57</v>
      </c>
      <c r="H6" s="41">
        <f t="shared" ca="1" si="0"/>
        <v>5</v>
      </c>
      <c r="I6" s="41" t="s">
        <v>58</v>
      </c>
      <c r="J6" s="44">
        <v>45000</v>
      </c>
      <c r="K6" s="44">
        <v>18000</v>
      </c>
      <c r="L6" s="44">
        <f t="shared" si="1"/>
        <v>9000</v>
      </c>
      <c r="M6" s="44">
        <f t="shared" si="2"/>
        <v>72000</v>
      </c>
      <c r="N6" s="44">
        <f t="shared" si="3"/>
        <v>7200</v>
      </c>
      <c r="O6" s="44">
        <f t="shared" si="4"/>
        <v>64800</v>
      </c>
      <c r="P6" s="41" t="s">
        <v>59</v>
      </c>
      <c r="Q6" s="41">
        <v>3</v>
      </c>
      <c r="R6" s="44">
        <f t="shared" si="5"/>
        <v>1440</v>
      </c>
      <c r="S6" s="3" t="str">
        <f t="shared" si="6"/>
        <v>vikram.singh@company.com</v>
      </c>
      <c r="T6" s="41" t="s">
        <v>60</v>
      </c>
      <c r="U6" s="41" t="str">
        <f t="shared" si="7"/>
        <v>Jul-2020</v>
      </c>
      <c r="V6" s="41" t="str">
        <f t="shared" si="8"/>
        <v>Junior</v>
      </c>
      <c r="W6" s="48"/>
      <c r="X6" s="48" t="s">
        <v>305</v>
      </c>
      <c r="Y6" s="48" t="str">
        <f>IFERROR(VLOOKUP(Y5,A1:V31,2,FALSE),"Not Found")</f>
        <v>Rajesh Bose</v>
      </c>
      <c r="Z6" s="48"/>
      <c r="AA6" s="48"/>
      <c r="AB6" s="48"/>
    </row>
    <row r="7" spans="1:28" x14ac:dyDescent="0.25">
      <c r="A7" s="42" t="s">
        <v>61</v>
      </c>
      <c r="B7" s="7" t="s">
        <v>62</v>
      </c>
      <c r="C7" s="42" t="s">
        <v>63</v>
      </c>
      <c r="D7" s="7" t="s">
        <v>64</v>
      </c>
      <c r="E7" s="42" t="s">
        <v>35</v>
      </c>
      <c r="F7" s="42">
        <v>38</v>
      </c>
      <c r="G7" s="45" t="s">
        <v>65</v>
      </c>
      <c r="H7" s="42">
        <f t="shared" ca="1" si="0"/>
        <v>10</v>
      </c>
      <c r="I7" s="42" t="s">
        <v>66</v>
      </c>
      <c r="J7" s="46">
        <v>80000</v>
      </c>
      <c r="K7" s="46">
        <v>32000</v>
      </c>
      <c r="L7" s="46">
        <f t="shared" si="1"/>
        <v>16000</v>
      </c>
      <c r="M7" s="46">
        <f t="shared" si="2"/>
        <v>128000</v>
      </c>
      <c r="N7" s="46">
        <f t="shared" si="3"/>
        <v>12800</v>
      </c>
      <c r="O7" s="46">
        <f t="shared" si="4"/>
        <v>115200</v>
      </c>
      <c r="P7" s="42" t="s">
        <v>29</v>
      </c>
      <c r="Q7" s="42">
        <v>5</v>
      </c>
      <c r="R7" s="46">
        <f t="shared" si="5"/>
        <v>6400</v>
      </c>
      <c r="S7" s="7" t="str">
        <f t="shared" si="6"/>
        <v>kavya.nair@company.com</v>
      </c>
      <c r="T7" s="42" t="s">
        <v>67</v>
      </c>
      <c r="U7" s="42" t="str">
        <f t="shared" si="7"/>
        <v>Nov-2015</v>
      </c>
      <c r="V7" s="42" t="str">
        <f t="shared" si="8"/>
        <v>Senior</v>
      </c>
      <c r="W7" s="49"/>
      <c r="X7" s="49" t="s">
        <v>3</v>
      </c>
      <c r="Y7" s="49" t="str">
        <f>IFERROR(VLOOKUP(Y5,A1:V31,3,),"Not Found")</f>
        <v>Finance</v>
      </c>
      <c r="Z7" s="49"/>
      <c r="AA7" s="49"/>
      <c r="AB7" s="49"/>
    </row>
    <row r="8" spans="1:28" x14ac:dyDescent="0.25">
      <c r="A8" s="41" t="s">
        <v>68</v>
      </c>
      <c r="B8" s="3" t="s">
        <v>69</v>
      </c>
      <c r="C8" s="41" t="s">
        <v>25</v>
      </c>
      <c r="D8" s="3" t="s">
        <v>70</v>
      </c>
      <c r="E8" s="41" t="s">
        <v>26</v>
      </c>
      <c r="F8" s="41">
        <v>29</v>
      </c>
      <c r="G8" s="43" t="s">
        <v>71</v>
      </c>
      <c r="H8" s="41">
        <f t="shared" ca="1" si="0"/>
        <v>6</v>
      </c>
      <c r="I8" s="41" t="s">
        <v>72</v>
      </c>
      <c r="J8" s="44">
        <v>90000</v>
      </c>
      <c r="K8" s="44">
        <v>36000</v>
      </c>
      <c r="L8" s="44">
        <f t="shared" si="1"/>
        <v>18000</v>
      </c>
      <c r="M8" s="44">
        <f t="shared" si="2"/>
        <v>144000</v>
      </c>
      <c r="N8" s="44">
        <f t="shared" si="3"/>
        <v>14400</v>
      </c>
      <c r="O8" s="44">
        <f t="shared" si="4"/>
        <v>129600</v>
      </c>
      <c r="P8" s="41" t="s">
        <v>73</v>
      </c>
      <c r="Q8" s="41">
        <v>5</v>
      </c>
      <c r="R8" s="44">
        <f t="shared" si="5"/>
        <v>7200</v>
      </c>
      <c r="S8" s="3" t="str">
        <f t="shared" si="6"/>
        <v>arjun.kumar@company.com</v>
      </c>
      <c r="T8" s="41" t="s">
        <v>74</v>
      </c>
      <c r="U8" s="41" t="str">
        <f t="shared" si="7"/>
        <v>Apr-2020</v>
      </c>
      <c r="V8" s="41" t="str">
        <f t="shared" si="8"/>
        <v>Senior</v>
      </c>
      <c r="W8" s="48"/>
      <c r="X8" s="48" t="s">
        <v>306</v>
      </c>
      <c r="Y8" s="48">
        <f>IFERROR(VLOOKUP(Y5,A1:V32,10,),"Not Found")</f>
        <v>150000</v>
      </c>
      <c r="Z8" s="48"/>
      <c r="AA8" s="48"/>
      <c r="AB8" s="48"/>
    </row>
    <row r="9" spans="1:28" x14ac:dyDescent="0.25">
      <c r="A9" s="42" t="s">
        <v>75</v>
      </c>
      <c r="B9" s="7" t="s">
        <v>76</v>
      </c>
      <c r="C9" s="42" t="s">
        <v>42</v>
      </c>
      <c r="D9" s="7" t="s">
        <v>77</v>
      </c>
      <c r="E9" s="42" t="s">
        <v>35</v>
      </c>
      <c r="F9" s="42">
        <v>27</v>
      </c>
      <c r="G9" s="45" t="s">
        <v>78</v>
      </c>
      <c r="H9" s="42">
        <f t="shared" ca="1" si="0"/>
        <v>4</v>
      </c>
      <c r="I9" s="42" t="s">
        <v>79</v>
      </c>
      <c r="J9" s="46">
        <v>55000</v>
      </c>
      <c r="K9" s="46">
        <v>22000</v>
      </c>
      <c r="L9" s="46">
        <f t="shared" si="1"/>
        <v>11000</v>
      </c>
      <c r="M9" s="46">
        <f t="shared" si="2"/>
        <v>88000</v>
      </c>
      <c r="N9" s="46">
        <f t="shared" si="3"/>
        <v>8800</v>
      </c>
      <c r="O9" s="46">
        <f t="shared" si="4"/>
        <v>79200</v>
      </c>
      <c r="P9" s="42" t="s">
        <v>38</v>
      </c>
      <c r="Q9" s="42">
        <v>3</v>
      </c>
      <c r="R9" s="46">
        <f t="shared" si="5"/>
        <v>1760</v>
      </c>
      <c r="S9" s="7" t="str">
        <f t="shared" si="6"/>
        <v>divya.verma@company.com</v>
      </c>
      <c r="T9" s="42" t="s">
        <v>80</v>
      </c>
      <c r="U9" s="42" t="str">
        <f t="shared" si="7"/>
        <v>Feb-2022</v>
      </c>
      <c r="V9" s="42" t="str">
        <f t="shared" si="8"/>
        <v>Junior</v>
      </c>
      <c r="W9" s="49"/>
      <c r="X9" s="49" t="s">
        <v>15</v>
      </c>
      <c r="Y9" s="49">
        <f>IFERROR(VLOOKUP(Y5,A1:V31,15,),"Not Found")</f>
        <v>216000</v>
      </c>
      <c r="Z9" s="49"/>
      <c r="AA9" s="49"/>
      <c r="AB9" s="49"/>
    </row>
    <row r="10" spans="1:28" x14ac:dyDescent="0.25">
      <c r="A10" s="41" t="s">
        <v>81</v>
      </c>
      <c r="B10" s="3" t="s">
        <v>82</v>
      </c>
      <c r="C10" s="41" t="s">
        <v>55</v>
      </c>
      <c r="D10" s="3" t="s">
        <v>83</v>
      </c>
      <c r="E10" s="41" t="s">
        <v>26</v>
      </c>
      <c r="F10" s="41">
        <v>42</v>
      </c>
      <c r="G10" s="43" t="s">
        <v>84</v>
      </c>
      <c r="H10" s="41">
        <f t="shared" ca="1" si="0"/>
        <v>12</v>
      </c>
      <c r="I10" s="41" t="s">
        <v>85</v>
      </c>
      <c r="J10" s="44">
        <v>95000</v>
      </c>
      <c r="K10" s="44">
        <v>38000</v>
      </c>
      <c r="L10" s="44">
        <f t="shared" si="1"/>
        <v>19000</v>
      </c>
      <c r="M10" s="44">
        <f t="shared" si="2"/>
        <v>152000</v>
      </c>
      <c r="N10" s="44">
        <f t="shared" si="3"/>
        <v>15200</v>
      </c>
      <c r="O10" s="44">
        <f t="shared" si="4"/>
        <v>136800</v>
      </c>
      <c r="P10" s="41" t="s">
        <v>73</v>
      </c>
      <c r="Q10" s="41">
        <v>5</v>
      </c>
      <c r="R10" s="44">
        <f t="shared" si="5"/>
        <v>7600</v>
      </c>
      <c r="S10" s="3" t="str">
        <f t="shared" si="6"/>
        <v>ravi.tiwari@company.com</v>
      </c>
      <c r="T10" s="41" t="s">
        <v>86</v>
      </c>
      <c r="U10" s="41" t="str">
        <f t="shared" si="7"/>
        <v>Aug-2013</v>
      </c>
      <c r="V10" s="41" t="str">
        <f t="shared" si="8"/>
        <v>Senior</v>
      </c>
      <c r="W10" s="48"/>
      <c r="X10" s="48"/>
      <c r="Y10" s="48"/>
      <c r="Z10" s="48"/>
      <c r="AA10" s="48"/>
      <c r="AB10" s="48"/>
    </row>
    <row r="11" spans="1:28" x14ac:dyDescent="0.25">
      <c r="A11" s="42" t="s">
        <v>87</v>
      </c>
      <c r="B11" s="7" t="s">
        <v>88</v>
      </c>
      <c r="C11" s="42" t="s">
        <v>33</v>
      </c>
      <c r="D11" s="7" t="s">
        <v>89</v>
      </c>
      <c r="E11" s="42" t="s">
        <v>35</v>
      </c>
      <c r="F11" s="42">
        <v>25</v>
      </c>
      <c r="G11" s="45" t="s">
        <v>90</v>
      </c>
      <c r="H11" s="42">
        <f t="shared" ca="1" si="0"/>
        <v>3</v>
      </c>
      <c r="I11" s="42" t="s">
        <v>91</v>
      </c>
      <c r="J11" s="46">
        <v>40000</v>
      </c>
      <c r="K11" s="46">
        <v>16000</v>
      </c>
      <c r="L11" s="46">
        <f t="shared" si="1"/>
        <v>8000</v>
      </c>
      <c r="M11" s="46">
        <f t="shared" si="2"/>
        <v>64000</v>
      </c>
      <c r="N11" s="46">
        <f t="shared" si="3"/>
        <v>6400</v>
      </c>
      <c r="O11" s="46">
        <f t="shared" si="4"/>
        <v>57600</v>
      </c>
      <c r="P11" s="42" t="s">
        <v>59</v>
      </c>
      <c r="Q11" s="42">
        <v>2</v>
      </c>
      <c r="R11" s="46">
        <f t="shared" si="5"/>
        <v>1280</v>
      </c>
      <c r="S11" s="7" t="str">
        <f t="shared" si="6"/>
        <v>anjali.mishra@company.com</v>
      </c>
      <c r="T11" s="42" t="s">
        <v>92</v>
      </c>
      <c r="U11" s="42" t="str">
        <f t="shared" si="7"/>
        <v>Mar-2023</v>
      </c>
      <c r="V11" s="42" t="str">
        <f t="shared" si="8"/>
        <v>Junior</v>
      </c>
      <c r="W11" s="49"/>
      <c r="X11" s="49"/>
      <c r="Y11" s="49"/>
      <c r="Z11" s="49"/>
      <c r="AA11" s="49"/>
      <c r="AB11" s="49"/>
    </row>
    <row r="12" spans="1:28" x14ac:dyDescent="0.25">
      <c r="A12" s="41" t="s">
        <v>93</v>
      </c>
      <c r="B12" s="3" t="s">
        <v>94</v>
      </c>
      <c r="C12" s="41" t="s">
        <v>25</v>
      </c>
      <c r="D12" s="3" t="s">
        <v>95</v>
      </c>
      <c r="E12" s="41" t="s">
        <v>26</v>
      </c>
      <c r="F12" s="41">
        <v>33</v>
      </c>
      <c r="G12" s="43" t="s">
        <v>96</v>
      </c>
      <c r="H12" s="41">
        <f t="shared" ca="1" si="0"/>
        <v>6</v>
      </c>
      <c r="I12" s="41" t="s">
        <v>97</v>
      </c>
      <c r="J12" s="44">
        <v>78000</v>
      </c>
      <c r="K12" s="44">
        <v>31200</v>
      </c>
      <c r="L12" s="44">
        <f t="shared" si="1"/>
        <v>15600</v>
      </c>
      <c r="M12" s="44">
        <f t="shared" si="2"/>
        <v>124800</v>
      </c>
      <c r="N12" s="44">
        <f t="shared" si="3"/>
        <v>12480</v>
      </c>
      <c r="O12" s="44">
        <f t="shared" si="4"/>
        <v>112320</v>
      </c>
      <c r="P12" s="41" t="s">
        <v>38</v>
      </c>
      <c r="Q12" s="41">
        <v>4</v>
      </c>
      <c r="R12" s="44">
        <f t="shared" si="5"/>
        <v>6240</v>
      </c>
      <c r="S12" s="3" t="str">
        <f t="shared" si="6"/>
        <v>suresh.gupta@company.com</v>
      </c>
      <c r="T12" s="41" t="s">
        <v>98</v>
      </c>
      <c r="U12" s="41" t="str">
        <f t="shared" si="7"/>
        <v>May-2019</v>
      </c>
      <c r="V12" s="41" t="str">
        <f t="shared" si="8"/>
        <v>Mid-Level</v>
      </c>
      <c r="W12" s="48"/>
      <c r="X12" s="48"/>
      <c r="Y12" s="48"/>
      <c r="Z12" s="48"/>
      <c r="AA12" s="48"/>
      <c r="AB12" s="48"/>
    </row>
    <row r="13" spans="1:28" x14ac:dyDescent="0.25">
      <c r="A13" s="42" t="s">
        <v>99</v>
      </c>
      <c r="B13" s="7" t="s">
        <v>100</v>
      </c>
      <c r="C13" s="42" t="s">
        <v>63</v>
      </c>
      <c r="D13" s="7" t="s">
        <v>101</v>
      </c>
      <c r="E13" s="42" t="s">
        <v>35</v>
      </c>
      <c r="F13" s="42">
        <v>29</v>
      </c>
      <c r="G13" s="45" t="s">
        <v>102</v>
      </c>
      <c r="H13" s="42">
        <f t="shared" ca="1" si="0"/>
        <v>4</v>
      </c>
      <c r="I13" s="42" t="s">
        <v>103</v>
      </c>
      <c r="J13" s="46">
        <v>52000</v>
      </c>
      <c r="K13" s="46">
        <v>20800</v>
      </c>
      <c r="L13" s="46">
        <f t="shared" si="1"/>
        <v>10400</v>
      </c>
      <c r="M13" s="46">
        <f t="shared" si="2"/>
        <v>83200</v>
      </c>
      <c r="N13" s="46">
        <f t="shared" si="3"/>
        <v>8320</v>
      </c>
      <c r="O13" s="46">
        <f t="shared" si="4"/>
        <v>74880</v>
      </c>
      <c r="P13" s="42" t="s">
        <v>38</v>
      </c>
      <c r="Q13" s="42">
        <v>3</v>
      </c>
      <c r="R13" s="46">
        <f t="shared" si="5"/>
        <v>1664</v>
      </c>
      <c r="S13" s="7" t="str">
        <f t="shared" si="6"/>
        <v>meera.joshi@company.com</v>
      </c>
      <c r="T13" s="42" t="s">
        <v>104</v>
      </c>
      <c r="U13" s="42" t="str">
        <f t="shared" si="7"/>
        <v>Sep-2021</v>
      </c>
      <c r="V13" s="42" t="str">
        <f t="shared" si="8"/>
        <v>Junior</v>
      </c>
      <c r="W13" s="49"/>
      <c r="X13" s="49"/>
      <c r="Y13" s="49"/>
      <c r="Z13" s="49"/>
      <c r="AA13" s="49"/>
      <c r="AB13" s="49"/>
    </row>
    <row r="14" spans="1:28" x14ac:dyDescent="0.25">
      <c r="A14" s="41" t="s">
        <v>105</v>
      </c>
      <c r="B14" s="3" t="s">
        <v>106</v>
      </c>
      <c r="C14" s="41" t="s">
        <v>42</v>
      </c>
      <c r="D14" s="3" t="s">
        <v>107</v>
      </c>
      <c r="E14" s="41" t="s">
        <v>26</v>
      </c>
      <c r="F14" s="41">
        <v>36</v>
      </c>
      <c r="G14" s="43" t="s">
        <v>108</v>
      </c>
      <c r="H14" s="41">
        <f t="shared" ca="1" si="0"/>
        <v>9</v>
      </c>
      <c r="I14" s="41" t="s">
        <v>109</v>
      </c>
      <c r="J14" s="44">
        <v>74000</v>
      </c>
      <c r="K14" s="44">
        <v>29600</v>
      </c>
      <c r="L14" s="44">
        <f t="shared" si="1"/>
        <v>14800</v>
      </c>
      <c r="M14" s="44">
        <f t="shared" si="2"/>
        <v>118400</v>
      </c>
      <c r="N14" s="44">
        <f t="shared" si="3"/>
        <v>11840</v>
      </c>
      <c r="O14" s="44">
        <f t="shared" si="4"/>
        <v>106560</v>
      </c>
      <c r="P14" s="41" t="s">
        <v>29</v>
      </c>
      <c r="Q14" s="41">
        <v>4</v>
      </c>
      <c r="R14" s="44">
        <f t="shared" si="5"/>
        <v>5920</v>
      </c>
      <c r="S14" s="3" t="str">
        <f t="shared" si="6"/>
        <v>nikhil.pandey@company.com</v>
      </c>
      <c r="T14" s="41" t="s">
        <v>110</v>
      </c>
      <c r="U14" s="41" t="str">
        <f t="shared" si="7"/>
        <v>Dec-2016</v>
      </c>
      <c r="V14" s="41" t="str">
        <f t="shared" si="8"/>
        <v>Mid-Level</v>
      </c>
      <c r="W14" s="48"/>
      <c r="X14" s="48"/>
      <c r="Y14" s="48"/>
      <c r="Z14" s="48"/>
      <c r="AA14" s="48"/>
      <c r="AB14" s="48"/>
    </row>
    <row r="15" spans="1:28" x14ac:dyDescent="0.25">
      <c r="A15" s="42" t="s">
        <v>111</v>
      </c>
      <c r="B15" s="7" t="s">
        <v>112</v>
      </c>
      <c r="C15" s="42" t="s">
        <v>25</v>
      </c>
      <c r="D15" s="7" t="s">
        <v>113</v>
      </c>
      <c r="E15" s="42" t="s">
        <v>35</v>
      </c>
      <c r="F15" s="42">
        <v>27</v>
      </c>
      <c r="G15" s="45" t="s">
        <v>114</v>
      </c>
      <c r="H15" s="42">
        <f t="shared" ca="1" si="0"/>
        <v>3</v>
      </c>
      <c r="I15" s="42" t="s">
        <v>115</v>
      </c>
      <c r="J15" s="46">
        <v>58000</v>
      </c>
      <c r="K15" s="46">
        <v>23200</v>
      </c>
      <c r="L15" s="46">
        <f t="shared" si="1"/>
        <v>11600</v>
      </c>
      <c r="M15" s="46">
        <f t="shared" si="2"/>
        <v>92800</v>
      </c>
      <c r="N15" s="46">
        <f t="shared" si="3"/>
        <v>9280</v>
      </c>
      <c r="O15" s="46">
        <f t="shared" si="4"/>
        <v>83520</v>
      </c>
      <c r="P15" s="42" t="s">
        <v>59</v>
      </c>
      <c r="Q15" s="42">
        <v>3</v>
      </c>
      <c r="R15" s="46">
        <f t="shared" si="5"/>
        <v>1856</v>
      </c>
      <c r="S15" s="7" t="str">
        <f t="shared" si="6"/>
        <v>pooja.yadav@company.com</v>
      </c>
      <c r="T15" s="42" t="s">
        <v>116</v>
      </c>
      <c r="U15" s="42" t="str">
        <f t="shared" si="7"/>
        <v>Jun-2022</v>
      </c>
      <c r="V15" s="42" t="str">
        <f t="shared" si="8"/>
        <v>Junior</v>
      </c>
      <c r="W15" s="49"/>
      <c r="X15" s="49"/>
      <c r="Y15" s="49"/>
      <c r="Z15" s="49"/>
      <c r="AA15" s="49"/>
      <c r="AB15" s="49"/>
    </row>
    <row r="16" spans="1:28" x14ac:dyDescent="0.25">
      <c r="A16" s="41" t="s">
        <v>117</v>
      </c>
      <c r="B16" s="3" t="s">
        <v>118</v>
      </c>
      <c r="C16" s="41" t="s">
        <v>55</v>
      </c>
      <c r="D16" s="3" t="s">
        <v>119</v>
      </c>
      <c r="E16" s="41" t="s">
        <v>26</v>
      </c>
      <c r="F16" s="41">
        <v>40</v>
      </c>
      <c r="G16" s="43" t="s">
        <v>120</v>
      </c>
      <c r="H16" s="41">
        <f t="shared" ca="1" si="0"/>
        <v>11</v>
      </c>
      <c r="I16" s="41" t="s">
        <v>121</v>
      </c>
      <c r="J16" s="44">
        <v>88000</v>
      </c>
      <c r="K16" s="44">
        <v>35200</v>
      </c>
      <c r="L16" s="44">
        <f t="shared" si="1"/>
        <v>17600</v>
      </c>
      <c r="M16" s="44">
        <f t="shared" si="2"/>
        <v>140800</v>
      </c>
      <c r="N16" s="44">
        <f t="shared" si="3"/>
        <v>14080</v>
      </c>
      <c r="O16" s="44">
        <f t="shared" si="4"/>
        <v>126720</v>
      </c>
      <c r="P16" s="41" t="s">
        <v>73</v>
      </c>
      <c r="Q16" s="41">
        <v>5</v>
      </c>
      <c r="R16" s="44">
        <f t="shared" si="5"/>
        <v>7040</v>
      </c>
      <c r="S16" s="3" t="str">
        <f t="shared" si="6"/>
        <v>manoj.desai@company.com</v>
      </c>
      <c r="T16" s="41" t="s">
        <v>122</v>
      </c>
      <c r="U16" s="41" t="str">
        <f t="shared" si="7"/>
        <v>Oct-2014</v>
      </c>
      <c r="V16" s="41" t="str">
        <f t="shared" si="8"/>
        <v>Senior</v>
      </c>
      <c r="W16" s="48"/>
      <c r="X16" s="48"/>
      <c r="Y16" s="48"/>
      <c r="Z16" s="48"/>
      <c r="AA16" s="48"/>
      <c r="AB16" s="48"/>
    </row>
    <row r="17" spans="1:28" x14ac:dyDescent="0.25">
      <c r="A17" s="42" t="s">
        <v>123</v>
      </c>
      <c r="B17" s="7" t="s">
        <v>124</v>
      </c>
      <c r="C17" s="42" t="s">
        <v>33</v>
      </c>
      <c r="D17" s="7" t="s">
        <v>125</v>
      </c>
      <c r="E17" s="42" t="s">
        <v>35</v>
      </c>
      <c r="F17" s="42">
        <v>31</v>
      </c>
      <c r="G17" s="45" t="s">
        <v>126</v>
      </c>
      <c r="H17" s="42">
        <f t="shared" ca="1" si="0"/>
        <v>6</v>
      </c>
      <c r="I17" s="42" t="s">
        <v>127</v>
      </c>
      <c r="J17" s="46">
        <v>62000</v>
      </c>
      <c r="K17" s="46">
        <v>24800</v>
      </c>
      <c r="L17" s="46">
        <f t="shared" si="1"/>
        <v>12400</v>
      </c>
      <c r="M17" s="46">
        <f t="shared" si="2"/>
        <v>99200</v>
      </c>
      <c r="N17" s="46">
        <f t="shared" si="3"/>
        <v>9920</v>
      </c>
      <c r="O17" s="46">
        <f t="shared" si="4"/>
        <v>89280</v>
      </c>
      <c r="P17" s="42" t="s">
        <v>38</v>
      </c>
      <c r="Q17" s="42">
        <v>4</v>
      </c>
      <c r="R17" s="46">
        <f t="shared" si="5"/>
        <v>4960</v>
      </c>
      <c r="S17" s="7" t="str">
        <f t="shared" si="6"/>
        <v>lakshmi.iyer@company.com</v>
      </c>
      <c r="T17" s="42" t="s">
        <v>128</v>
      </c>
      <c r="U17" s="42" t="str">
        <f t="shared" si="7"/>
        <v>Jul-2019</v>
      </c>
      <c r="V17" s="42" t="str">
        <f t="shared" si="8"/>
        <v>Mid-Level</v>
      </c>
      <c r="W17" s="49"/>
      <c r="X17" s="49"/>
      <c r="Y17" s="49"/>
      <c r="Z17" s="49"/>
      <c r="AA17" s="49"/>
      <c r="AB17" s="49"/>
    </row>
    <row r="18" spans="1:28" x14ac:dyDescent="0.25">
      <c r="A18" s="41" t="s">
        <v>129</v>
      </c>
      <c r="B18" s="3" t="s">
        <v>130</v>
      </c>
      <c r="C18" s="41" t="s">
        <v>25</v>
      </c>
      <c r="D18" s="3" t="s">
        <v>131</v>
      </c>
      <c r="E18" s="41" t="s">
        <v>26</v>
      </c>
      <c r="F18" s="41">
        <v>37</v>
      </c>
      <c r="G18" s="43" t="s">
        <v>132</v>
      </c>
      <c r="H18" s="41">
        <f t="shared" ca="1" si="0"/>
        <v>10</v>
      </c>
      <c r="I18" s="41" t="s">
        <v>133</v>
      </c>
      <c r="J18" s="44">
        <v>110000</v>
      </c>
      <c r="K18" s="44">
        <v>44000</v>
      </c>
      <c r="L18" s="44">
        <f t="shared" si="1"/>
        <v>22000</v>
      </c>
      <c r="M18" s="44">
        <f t="shared" si="2"/>
        <v>176000</v>
      </c>
      <c r="N18" s="44">
        <f t="shared" si="3"/>
        <v>17600</v>
      </c>
      <c r="O18" s="44">
        <f t="shared" si="4"/>
        <v>158400</v>
      </c>
      <c r="P18" s="41" t="s">
        <v>73</v>
      </c>
      <c r="Q18" s="41">
        <v>5</v>
      </c>
      <c r="R18" s="44">
        <f t="shared" si="5"/>
        <v>8800</v>
      </c>
      <c r="S18" s="3" t="str">
        <f t="shared" si="6"/>
        <v>aditya.kapoor@company.com</v>
      </c>
      <c r="T18" s="41" t="s">
        <v>134</v>
      </c>
      <c r="U18" s="41" t="str">
        <f t="shared" si="7"/>
        <v>Mar-2016</v>
      </c>
      <c r="V18" s="41" t="str">
        <f t="shared" si="8"/>
        <v>Executive</v>
      </c>
      <c r="W18" s="48"/>
      <c r="X18" s="48"/>
      <c r="Y18" s="48"/>
      <c r="Z18" s="48"/>
      <c r="AA18" s="48"/>
      <c r="AB18" s="48"/>
    </row>
    <row r="19" spans="1:28" x14ac:dyDescent="0.25">
      <c r="A19" s="42" t="s">
        <v>135</v>
      </c>
      <c r="B19" s="7" t="s">
        <v>136</v>
      </c>
      <c r="C19" s="42" t="s">
        <v>63</v>
      </c>
      <c r="D19" s="7" t="s">
        <v>137</v>
      </c>
      <c r="E19" s="42" t="s">
        <v>35</v>
      </c>
      <c r="F19" s="42">
        <v>26</v>
      </c>
      <c r="G19" s="45" t="s">
        <v>138</v>
      </c>
      <c r="H19" s="42">
        <f t="shared" ca="1" si="0"/>
        <v>3</v>
      </c>
      <c r="I19" s="42" t="s">
        <v>139</v>
      </c>
      <c r="J19" s="46">
        <v>47000</v>
      </c>
      <c r="K19" s="46">
        <v>18800</v>
      </c>
      <c r="L19" s="46">
        <f t="shared" si="1"/>
        <v>9400</v>
      </c>
      <c r="M19" s="46">
        <f t="shared" si="2"/>
        <v>75200</v>
      </c>
      <c r="N19" s="46">
        <f t="shared" si="3"/>
        <v>7520</v>
      </c>
      <c r="O19" s="46">
        <f t="shared" si="4"/>
        <v>67680</v>
      </c>
      <c r="P19" s="42" t="s">
        <v>59</v>
      </c>
      <c r="Q19" s="42">
        <v>2</v>
      </c>
      <c r="R19" s="46">
        <f t="shared" si="5"/>
        <v>1504</v>
      </c>
      <c r="S19" s="7" t="str">
        <f t="shared" si="6"/>
        <v>nisha.saxena@company.com</v>
      </c>
      <c r="T19" s="42" t="s">
        <v>140</v>
      </c>
      <c r="U19" s="42" t="str">
        <f t="shared" si="7"/>
        <v>Jan-2023</v>
      </c>
      <c r="V19" s="42" t="str">
        <f t="shared" si="8"/>
        <v>Junior</v>
      </c>
      <c r="W19" s="49"/>
      <c r="X19" s="49"/>
      <c r="Y19" s="49"/>
      <c r="Z19" s="49"/>
      <c r="AA19" s="49"/>
      <c r="AB19" s="49"/>
    </row>
    <row r="20" spans="1:28" x14ac:dyDescent="0.25">
      <c r="A20" s="41" t="s">
        <v>141</v>
      </c>
      <c r="B20" s="3" t="s">
        <v>142</v>
      </c>
      <c r="C20" s="41" t="s">
        <v>42</v>
      </c>
      <c r="D20" s="3" t="s">
        <v>143</v>
      </c>
      <c r="E20" s="41" t="s">
        <v>26</v>
      </c>
      <c r="F20" s="41">
        <v>50</v>
      </c>
      <c r="G20" s="43" t="s">
        <v>144</v>
      </c>
      <c r="H20" s="41">
        <f t="shared" ca="1" si="0"/>
        <v>16</v>
      </c>
      <c r="I20" s="41" t="s">
        <v>145</v>
      </c>
      <c r="J20" s="44">
        <v>150000</v>
      </c>
      <c r="K20" s="44">
        <v>60000</v>
      </c>
      <c r="L20" s="44">
        <f t="shared" si="1"/>
        <v>30000</v>
      </c>
      <c r="M20" s="44">
        <f t="shared" si="2"/>
        <v>240000</v>
      </c>
      <c r="N20" s="44">
        <f t="shared" si="3"/>
        <v>24000</v>
      </c>
      <c r="O20" s="44">
        <f t="shared" si="4"/>
        <v>216000</v>
      </c>
      <c r="P20" s="41" t="s">
        <v>73</v>
      </c>
      <c r="Q20" s="41">
        <v>5</v>
      </c>
      <c r="R20" s="44">
        <f t="shared" si="5"/>
        <v>12000</v>
      </c>
      <c r="S20" s="3" t="str">
        <f t="shared" si="6"/>
        <v>rajesh.bose@company.com</v>
      </c>
      <c r="T20" s="41" t="s">
        <v>146</v>
      </c>
      <c r="U20" s="41" t="str">
        <f t="shared" si="7"/>
        <v>Apr-2010</v>
      </c>
      <c r="V20" s="41" t="str">
        <f t="shared" si="8"/>
        <v>Executive</v>
      </c>
      <c r="W20" s="48"/>
      <c r="X20" s="48"/>
      <c r="Y20" s="48"/>
      <c r="Z20" s="48"/>
      <c r="AA20" s="48"/>
      <c r="AB20" s="48"/>
    </row>
    <row r="21" spans="1:28" x14ac:dyDescent="0.25">
      <c r="A21" s="42" t="s">
        <v>147</v>
      </c>
      <c r="B21" s="7" t="s">
        <v>148</v>
      </c>
      <c r="C21" s="42" t="s">
        <v>25</v>
      </c>
      <c r="D21" s="7" t="s">
        <v>149</v>
      </c>
      <c r="E21" s="42" t="s">
        <v>35</v>
      </c>
      <c r="F21" s="42">
        <v>28</v>
      </c>
      <c r="G21" s="45" t="s">
        <v>150</v>
      </c>
      <c r="H21" s="42">
        <f t="shared" ca="1" si="0"/>
        <v>4</v>
      </c>
      <c r="I21" s="42" t="s">
        <v>151</v>
      </c>
      <c r="J21" s="46">
        <v>67000</v>
      </c>
      <c r="K21" s="46">
        <v>26800</v>
      </c>
      <c r="L21" s="46">
        <f t="shared" si="1"/>
        <v>13400</v>
      </c>
      <c r="M21" s="46">
        <f t="shared" si="2"/>
        <v>107200</v>
      </c>
      <c r="N21" s="46">
        <f t="shared" si="3"/>
        <v>10720</v>
      </c>
      <c r="O21" s="46">
        <f t="shared" si="4"/>
        <v>96480</v>
      </c>
      <c r="P21" s="42" t="s">
        <v>38</v>
      </c>
      <c r="Q21" s="42">
        <v>4</v>
      </c>
      <c r="R21" s="46">
        <f t="shared" si="5"/>
        <v>5360</v>
      </c>
      <c r="S21" s="7" t="str">
        <f t="shared" si="6"/>
        <v>simran.kaur@company.com</v>
      </c>
      <c r="T21" s="42" t="s">
        <v>152</v>
      </c>
      <c r="U21" s="42" t="str">
        <f t="shared" si="7"/>
        <v>Nov-2021</v>
      </c>
      <c r="V21" s="42" t="str">
        <f t="shared" si="8"/>
        <v>Mid-Level</v>
      </c>
      <c r="W21" s="49"/>
      <c r="X21" s="49"/>
      <c r="Y21" s="49"/>
      <c r="Z21" s="49"/>
      <c r="AA21" s="49"/>
      <c r="AB21" s="49"/>
    </row>
    <row r="22" spans="1:28" x14ac:dyDescent="0.25">
      <c r="A22" s="41" t="s">
        <v>153</v>
      </c>
      <c r="B22" s="3" t="s">
        <v>154</v>
      </c>
      <c r="C22" s="41" t="s">
        <v>55</v>
      </c>
      <c r="D22" s="3" t="s">
        <v>56</v>
      </c>
      <c r="E22" s="41" t="s">
        <v>26</v>
      </c>
      <c r="F22" s="41">
        <v>24</v>
      </c>
      <c r="G22" s="43" t="s">
        <v>155</v>
      </c>
      <c r="H22" s="41">
        <f t="shared" ca="1" si="0"/>
        <v>2</v>
      </c>
      <c r="I22" s="41" t="s">
        <v>156</v>
      </c>
      <c r="J22" s="44">
        <v>42000</v>
      </c>
      <c r="K22" s="44">
        <v>16800</v>
      </c>
      <c r="L22" s="44">
        <f t="shared" si="1"/>
        <v>8400</v>
      </c>
      <c r="M22" s="44">
        <f t="shared" si="2"/>
        <v>67200</v>
      </c>
      <c r="N22" s="44">
        <f t="shared" si="3"/>
        <v>6720</v>
      </c>
      <c r="O22" s="44">
        <f t="shared" si="4"/>
        <v>60480</v>
      </c>
      <c r="P22" s="41" t="s">
        <v>59</v>
      </c>
      <c r="Q22" s="41">
        <v>2</v>
      </c>
      <c r="R22" s="44">
        <f t="shared" si="5"/>
        <v>1344</v>
      </c>
      <c r="S22" s="3" t="str">
        <f t="shared" si="6"/>
        <v>tarun.bhatt@company.com</v>
      </c>
      <c r="T22" s="41" t="s">
        <v>157</v>
      </c>
      <c r="U22" s="41" t="str">
        <f t="shared" si="7"/>
        <v>Jan-2024</v>
      </c>
      <c r="V22" s="41" t="str">
        <f t="shared" si="8"/>
        <v>Junior</v>
      </c>
      <c r="W22" s="48"/>
      <c r="X22" s="48"/>
      <c r="Y22" s="48"/>
      <c r="Z22" s="48"/>
      <c r="AA22" s="48"/>
      <c r="AB22" s="48"/>
    </row>
    <row r="23" spans="1:28" x14ac:dyDescent="0.25">
      <c r="A23" s="42" t="s">
        <v>158</v>
      </c>
      <c r="B23" s="7" t="s">
        <v>159</v>
      </c>
      <c r="C23" s="42" t="s">
        <v>33</v>
      </c>
      <c r="D23" s="7" t="s">
        <v>160</v>
      </c>
      <c r="E23" s="42" t="s">
        <v>35</v>
      </c>
      <c r="F23" s="42">
        <v>45</v>
      </c>
      <c r="G23" s="45" t="s">
        <v>161</v>
      </c>
      <c r="H23" s="42">
        <f t="shared" ca="1" si="0"/>
        <v>14</v>
      </c>
      <c r="I23" s="42" t="s">
        <v>162</v>
      </c>
      <c r="J23" s="46">
        <v>120000</v>
      </c>
      <c r="K23" s="46">
        <v>48000</v>
      </c>
      <c r="L23" s="46">
        <f t="shared" si="1"/>
        <v>24000</v>
      </c>
      <c r="M23" s="46">
        <f t="shared" si="2"/>
        <v>192000</v>
      </c>
      <c r="N23" s="46">
        <f t="shared" si="3"/>
        <v>19200</v>
      </c>
      <c r="O23" s="46">
        <f t="shared" si="4"/>
        <v>172800</v>
      </c>
      <c r="P23" s="42" t="s">
        <v>73</v>
      </c>
      <c r="Q23" s="42">
        <v>5</v>
      </c>
      <c r="R23" s="46">
        <f t="shared" si="5"/>
        <v>9600</v>
      </c>
      <c r="S23" s="7" t="str">
        <f t="shared" si="6"/>
        <v>uma.shetty@company.com</v>
      </c>
      <c r="T23" s="42" t="s">
        <v>163</v>
      </c>
      <c r="U23" s="42" t="str">
        <f t="shared" si="7"/>
        <v>Sep-2011</v>
      </c>
      <c r="V23" s="42" t="str">
        <f t="shared" si="8"/>
        <v>Executive</v>
      </c>
      <c r="W23" s="49"/>
      <c r="X23" s="49"/>
      <c r="Y23" s="49"/>
      <c r="Z23" s="49"/>
      <c r="AA23" s="49"/>
      <c r="AB23" s="49"/>
    </row>
    <row r="24" spans="1:28" x14ac:dyDescent="0.25">
      <c r="A24" s="41" t="s">
        <v>164</v>
      </c>
      <c r="B24" s="3" t="s">
        <v>165</v>
      </c>
      <c r="C24" s="41" t="s">
        <v>25</v>
      </c>
      <c r="D24" s="3" t="s">
        <v>166</v>
      </c>
      <c r="E24" s="41" t="s">
        <v>26</v>
      </c>
      <c r="F24" s="41">
        <v>31</v>
      </c>
      <c r="G24" s="43" t="s">
        <v>167</v>
      </c>
      <c r="H24" s="41">
        <f t="shared" ca="1" si="0"/>
        <v>5</v>
      </c>
      <c r="I24" s="41" t="s">
        <v>168</v>
      </c>
      <c r="J24" s="44">
        <v>82000</v>
      </c>
      <c r="K24" s="44">
        <v>32800</v>
      </c>
      <c r="L24" s="44">
        <f t="shared" si="1"/>
        <v>16400</v>
      </c>
      <c r="M24" s="44">
        <f t="shared" si="2"/>
        <v>131200</v>
      </c>
      <c r="N24" s="44">
        <f t="shared" si="3"/>
        <v>13120</v>
      </c>
      <c r="O24" s="44">
        <f t="shared" si="4"/>
        <v>118080</v>
      </c>
      <c r="P24" s="41" t="s">
        <v>38</v>
      </c>
      <c r="Q24" s="41">
        <v>4</v>
      </c>
      <c r="R24" s="44">
        <f t="shared" si="5"/>
        <v>6560</v>
      </c>
      <c r="S24" s="3" t="str">
        <f t="shared" si="6"/>
        <v>varun.malhotra@company.com</v>
      </c>
      <c r="T24" s="41" t="s">
        <v>169</v>
      </c>
      <c r="U24" s="41" t="str">
        <f t="shared" si="7"/>
        <v>Aug-2020</v>
      </c>
      <c r="V24" s="41" t="str">
        <f t="shared" si="8"/>
        <v>Senior</v>
      </c>
      <c r="W24" s="48"/>
      <c r="X24" s="48"/>
      <c r="Y24" s="48"/>
      <c r="Z24" s="48"/>
      <c r="AA24" s="48"/>
      <c r="AB24" s="48"/>
    </row>
    <row r="25" spans="1:28" x14ac:dyDescent="0.25">
      <c r="A25" s="42" t="s">
        <v>170</v>
      </c>
      <c r="B25" s="7" t="s">
        <v>171</v>
      </c>
      <c r="C25" s="42" t="s">
        <v>63</v>
      </c>
      <c r="D25" s="7" t="s">
        <v>172</v>
      </c>
      <c r="E25" s="42" t="s">
        <v>26</v>
      </c>
      <c r="F25" s="42">
        <v>34</v>
      </c>
      <c r="G25" s="45" t="s">
        <v>173</v>
      </c>
      <c r="H25" s="42">
        <f t="shared" ca="1" si="0"/>
        <v>8</v>
      </c>
      <c r="I25" s="42" t="s">
        <v>85</v>
      </c>
      <c r="J25" s="46">
        <v>77000</v>
      </c>
      <c r="K25" s="46">
        <v>30800</v>
      </c>
      <c r="L25" s="46">
        <f t="shared" si="1"/>
        <v>15400</v>
      </c>
      <c r="M25" s="46">
        <f t="shared" si="2"/>
        <v>123200</v>
      </c>
      <c r="N25" s="46">
        <f t="shared" si="3"/>
        <v>12320</v>
      </c>
      <c r="O25" s="46">
        <f t="shared" si="4"/>
        <v>110880</v>
      </c>
      <c r="P25" s="42" t="s">
        <v>29</v>
      </c>
      <c r="Q25" s="42">
        <v>4</v>
      </c>
      <c r="R25" s="46">
        <f t="shared" si="5"/>
        <v>6160</v>
      </c>
      <c r="S25" s="7" t="str">
        <f t="shared" si="6"/>
        <v>waqar.hussain@company.com</v>
      </c>
      <c r="T25" s="42" t="s">
        <v>174</v>
      </c>
      <c r="U25" s="42" t="str">
        <f t="shared" si="7"/>
        <v>Feb-2018</v>
      </c>
      <c r="V25" s="42" t="str">
        <f t="shared" si="8"/>
        <v>Mid-Level</v>
      </c>
      <c r="W25" s="49"/>
      <c r="X25" s="49"/>
      <c r="Y25" s="49"/>
      <c r="Z25" s="49"/>
      <c r="AA25" s="49"/>
      <c r="AB25" s="49"/>
    </row>
    <row r="26" spans="1:28" x14ac:dyDescent="0.25">
      <c r="A26" s="41" t="s">
        <v>175</v>
      </c>
      <c r="B26" s="3" t="s">
        <v>176</v>
      </c>
      <c r="C26" s="41" t="s">
        <v>42</v>
      </c>
      <c r="D26" s="3" t="s">
        <v>177</v>
      </c>
      <c r="E26" s="41" t="s">
        <v>35</v>
      </c>
      <c r="F26" s="41">
        <v>30</v>
      </c>
      <c r="G26" s="43" t="s">
        <v>178</v>
      </c>
      <c r="H26" s="41">
        <f t="shared" ca="1" si="0"/>
        <v>6</v>
      </c>
      <c r="I26" s="41" t="s">
        <v>179</v>
      </c>
      <c r="J26" s="44">
        <v>69000</v>
      </c>
      <c r="K26" s="44">
        <v>27600</v>
      </c>
      <c r="L26" s="44">
        <f t="shared" si="1"/>
        <v>13800</v>
      </c>
      <c r="M26" s="44">
        <f t="shared" si="2"/>
        <v>110400</v>
      </c>
      <c r="N26" s="44">
        <f t="shared" si="3"/>
        <v>11040</v>
      </c>
      <c r="O26" s="44">
        <f t="shared" si="4"/>
        <v>99360</v>
      </c>
      <c r="P26" s="41" t="s">
        <v>38</v>
      </c>
      <c r="Q26" s="41">
        <v>4</v>
      </c>
      <c r="R26" s="44">
        <f t="shared" si="5"/>
        <v>5520</v>
      </c>
      <c r="S26" s="3" t="str">
        <f t="shared" si="6"/>
        <v>yamini.rao@company.com</v>
      </c>
      <c r="T26" s="41" t="s">
        <v>180</v>
      </c>
      <c r="U26" s="41" t="str">
        <f t="shared" si="7"/>
        <v>Oct-2019</v>
      </c>
      <c r="V26" s="41" t="str">
        <f t="shared" si="8"/>
        <v>Mid-Level</v>
      </c>
      <c r="W26" s="48"/>
      <c r="X26" s="48"/>
      <c r="Y26" s="48"/>
      <c r="Z26" s="48"/>
      <c r="AA26" s="48"/>
      <c r="AB26" s="48"/>
    </row>
    <row r="27" spans="1:28" x14ac:dyDescent="0.25">
      <c r="A27" s="42" t="s">
        <v>181</v>
      </c>
      <c r="B27" s="7" t="s">
        <v>182</v>
      </c>
      <c r="C27" s="42" t="s">
        <v>25</v>
      </c>
      <c r="D27" s="7" t="s">
        <v>183</v>
      </c>
      <c r="E27" s="42" t="s">
        <v>35</v>
      </c>
      <c r="F27" s="42">
        <v>29</v>
      </c>
      <c r="G27" s="45" t="s">
        <v>184</v>
      </c>
      <c r="H27" s="42">
        <f t="shared" ca="1" si="0"/>
        <v>5</v>
      </c>
      <c r="I27" s="42" t="s">
        <v>51</v>
      </c>
      <c r="J27" s="46">
        <v>85000</v>
      </c>
      <c r="K27" s="46">
        <v>34000</v>
      </c>
      <c r="L27" s="46">
        <f t="shared" si="1"/>
        <v>17000</v>
      </c>
      <c r="M27" s="46">
        <f t="shared" si="2"/>
        <v>136000</v>
      </c>
      <c r="N27" s="46">
        <f t="shared" si="3"/>
        <v>13600</v>
      </c>
      <c r="O27" s="46">
        <f t="shared" si="4"/>
        <v>122400</v>
      </c>
      <c r="P27" s="42" t="s">
        <v>73</v>
      </c>
      <c r="Q27" s="42">
        <v>5</v>
      </c>
      <c r="R27" s="46">
        <f t="shared" si="5"/>
        <v>6800</v>
      </c>
      <c r="S27" s="7" t="str">
        <f t="shared" si="6"/>
        <v>zara.ahmed@company.com</v>
      </c>
      <c r="T27" s="42" t="s">
        <v>185</v>
      </c>
      <c r="U27" s="42" t="str">
        <f t="shared" si="7"/>
        <v>Dec-2020</v>
      </c>
      <c r="V27" s="42" t="str">
        <f t="shared" si="8"/>
        <v>Senior</v>
      </c>
      <c r="W27" s="49"/>
      <c r="X27" s="49"/>
      <c r="Y27" s="49"/>
      <c r="Z27" s="49"/>
      <c r="AA27" s="49"/>
      <c r="AB27" s="49"/>
    </row>
    <row r="28" spans="1:28" x14ac:dyDescent="0.25">
      <c r="A28" s="41" t="s">
        <v>186</v>
      </c>
      <c r="B28" s="3" t="s">
        <v>187</v>
      </c>
      <c r="C28" s="41" t="s">
        <v>55</v>
      </c>
      <c r="D28" s="3" t="s">
        <v>188</v>
      </c>
      <c r="E28" s="41" t="s">
        <v>26</v>
      </c>
      <c r="F28" s="41">
        <v>33</v>
      </c>
      <c r="G28" s="43" t="s">
        <v>189</v>
      </c>
      <c r="H28" s="41">
        <f t="shared" ca="1" si="0"/>
        <v>7</v>
      </c>
      <c r="I28" s="41" t="s">
        <v>190</v>
      </c>
      <c r="J28" s="44">
        <v>58000</v>
      </c>
      <c r="K28" s="44">
        <v>23200</v>
      </c>
      <c r="L28" s="44">
        <f t="shared" si="1"/>
        <v>11600</v>
      </c>
      <c r="M28" s="44">
        <f t="shared" si="2"/>
        <v>92800</v>
      </c>
      <c r="N28" s="44">
        <f t="shared" si="3"/>
        <v>9280</v>
      </c>
      <c r="O28" s="44">
        <f t="shared" si="4"/>
        <v>83520</v>
      </c>
      <c r="P28" s="41" t="s">
        <v>59</v>
      </c>
      <c r="Q28" s="41">
        <v>3</v>
      </c>
      <c r="R28" s="44">
        <f t="shared" si="5"/>
        <v>1856</v>
      </c>
      <c r="S28" s="3" t="str">
        <f t="shared" si="6"/>
        <v>ajay.choudhary@company.com</v>
      </c>
      <c r="T28" s="41" t="s">
        <v>191</v>
      </c>
      <c r="U28" s="41" t="str">
        <f t="shared" si="7"/>
        <v>Jun-2018</v>
      </c>
      <c r="V28" s="41" t="str">
        <f t="shared" si="8"/>
        <v>Junior</v>
      </c>
      <c r="W28" s="48"/>
      <c r="X28" s="48"/>
      <c r="Y28" s="48"/>
      <c r="Z28" s="48"/>
      <c r="AA28" s="48"/>
      <c r="AB28" s="48"/>
    </row>
    <row r="29" spans="1:28" x14ac:dyDescent="0.25">
      <c r="A29" s="42" t="s">
        <v>192</v>
      </c>
      <c r="B29" s="7" t="s">
        <v>193</v>
      </c>
      <c r="C29" s="42" t="s">
        <v>42</v>
      </c>
      <c r="D29" s="7" t="s">
        <v>194</v>
      </c>
      <c r="E29" s="42" t="s">
        <v>35</v>
      </c>
      <c r="F29" s="42">
        <v>28</v>
      </c>
      <c r="G29" s="45" t="s">
        <v>195</v>
      </c>
      <c r="H29" s="42">
        <f t="shared" ca="1" si="0"/>
        <v>4</v>
      </c>
      <c r="I29" s="42" t="s">
        <v>58</v>
      </c>
      <c r="J29" s="46">
        <v>61000</v>
      </c>
      <c r="K29" s="46">
        <v>24400</v>
      </c>
      <c r="L29" s="46">
        <f t="shared" si="1"/>
        <v>12200</v>
      </c>
      <c r="M29" s="46">
        <f t="shared" si="2"/>
        <v>97600</v>
      </c>
      <c r="N29" s="46">
        <f t="shared" si="3"/>
        <v>9760</v>
      </c>
      <c r="O29" s="46">
        <f t="shared" si="4"/>
        <v>87840</v>
      </c>
      <c r="P29" s="42" t="s">
        <v>38</v>
      </c>
      <c r="Q29" s="42">
        <v>4</v>
      </c>
      <c r="R29" s="46">
        <f t="shared" si="5"/>
        <v>4880</v>
      </c>
      <c r="S29" s="7" t="str">
        <f t="shared" si="6"/>
        <v>bharti.trivedi@company.com</v>
      </c>
      <c r="T29" s="42" t="s">
        <v>196</v>
      </c>
      <c r="U29" s="42" t="str">
        <f t="shared" si="7"/>
        <v>Apr-2022</v>
      </c>
      <c r="V29" s="42" t="str">
        <f t="shared" si="8"/>
        <v>Mid-Level</v>
      </c>
      <c r="W29" s="49"/>
      <c r="X29" s="49"/>
      <c r="Y29" s="49"/>
      <c r="Z29" s="49"/>
      <c r="AA29" s="49"/>
      <c r="AB29" s="49"/>
    </row>
    <row r="30" spans="1:28" x14ac:dyDescent="0.25">
      <c r="A30" s="41" t="s">
        <v>197</v>
      </c>
      <c r="B30" s="3" t="s">
        <v>198</v>
      </c>
      <c r="C30" s="41" t="s">
        <v>25</v>
      </c>
      <c r="D30" s="3" t="s">
        <v>199</v>
      </c>
      <c r="E30" s="41" t="s">
        <v>26</v>
      </c>
      <c r="F30" s="41">
        <v>30</v>
      </c>
      <c r="G30" s="43" t="s">
        <v>200</v>
      </c>
      <c r="H30" s="41">
        <f t="shared" ca="1" si="0"/>
        <v>5</v>
      </c>
      <c r="I30" s="41" t="s">
        <v>79</v>
      </c>
      <c r="J30" s="44">
        <v>95000</v>
      </c>
      <c r="K30" s="44">
        <v>38000</v>
      </c>
      <c r="L30" s="44">
        <f t="shared" si="1"/>
        <v>19000</v>
      </c>
      <c r="M30" s="44">
        <f t="shared" si="2"/>
        <v>152000</v>
      </c>
      <c r="N30" s="44">
        <f t="shared" si="3"/>
        <v>15200</v>
      </c>
      <c r="O30" s="44">
        <f t="shared" si="4"/>
        <v>136800</v>
      </c>
      <c r="P30" s="41" t="s">
        <v>73</v>
      </c>
      <c r="Q30" s="41">
        <v>5</v>
      </c>
      <c r="R30" s="44">
        <f t="shared" si="5"/>
        <v>7600</v>
      </c>
      <c r="S30" s="3" t="str">
        <f t="shared" si="6"/>
        <v>chetan.rawat@company.com</v>
      </c>
      <c r="T30" s="41" t="s">
        <v>201</v>
      </c>
      <c r="U30" s="41" t="str">
        <f t="shared" si="7"/>
        <v>Mar-2021</v>
      </c>
      <c r="V30" s="41" t="str">
        <f t="shared" si="8"/>
        <v>Senior</v>
      </c>
      <c r="W30" s="48"/>
      <c r="X30" s="48"/>
      <c r="Y30" s="48"/>
      <c r="Z30" s="48"/>
      <c r="AA30" s="48"/>
      <c r="AB30" s="48"/>
    </row>
    <row r="31" spans="1:28" x14ac:dyDescent="0.25">
      <c r="A31" s="42" t="s">
        <v>202</v>
      </c>
      <c r="B31" s="7" t="s">
        <v>203</v>
      </c>
      <c r="C31" s="42" t="s">
        <v>63</v>
      </c>
      <c r="D31" s="7" t="s">
        <v>204</v>
      </c>
      <c r="E31" s="42" t="s">
        <v>35</v>
      </c>
      <c r="F31" s="42">
        <v>36</v>
      </c>
      <c r="G31" s="45" t="s">
        <v>205</v>
      </c>
      <c r="H31" s="42">
        <f t="shared" ca="1" si="0"/>
        <v>8</v>
      </c>
      <c r="I31" s="42" t="s">
        <v>97</v>
      </c>
      <c r="J31" s="46">
        <v>83000</v>
      </c>
      <c r="K31" s="46">
        <v>33200</v>
      </c>
      <c r="L31" s="46">
        <f t="shared" si="1"/>
        <v>16600</v>
      </c>
      <c r="M31" s="46">
        <f t="shared" si="2"/>
        <v>132800</v>
      </c>
      <c r="N31" s="46">
        <f t="shared" si="3"/>
        <v>13280</v>
      </c>
      <c r="O31" s="46">
        <f t="shared" si="4"/>
        <v>119520</v>
      </c>
      <c r="P31" s="42" t="s">
        <v>29</v>
      </c>
      <c r="Q31" s="42">
        <v>4</v>
      </c>
      <c r="R31" s="46">
        <f t="shared" si="5"/>
        <v>6640</v>
      </c>
      <c r="S31" s="7" t="str">
        <f t="shared" si="6"/>
        <v>deepa.krishnan@company.com</v>
      </c>
      <c r="T31" s="42" t="s">
        <v>206</v>
      </c>
      <c r="U31" s="42" t="str">
        <f t="shared" si="7"/>
        <v>Jul-2017</v>
      </c>
      <c r="V31" s="42" t="str">
        <f t="shared" si="8"/>
        <v>Senior</v>
      </c>
      <c r="W31" s="49"/>
      <c r="X31" s="49"/>
      <c r="Y31" s="49"/>
      <c r="Z31" s="49"/>
      <c r="AA31" s="49"/>
      <c r="AB31" s="49"/>
    </row>
  </sheetData>
  <dataValidations count="1">
    <dataValidation type="list" allowBlank="1" showInputMessage="1" showErrorMessage="1" sqref="Y5" xr:uid="{D9F512A0-B64C-4E00-BB63-5C856F79B951}">
      <formula1>$A$1:$A$31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ED58A-CE61-4DF9-8E03-0C3F8A721A9E}">
  <dimension ref="A1:AE29"/>
  <sheetViews>
    <sheetView workbookViewId="0">
      <selection activeCell="D26" sqref="D26"/>
    </sheetView>
  </sheetViews>
  <sheetFormatPr defaultRowHeight="15" x14ac:dyDescent="0.25"/>
  <cols>
    <col min="1" max="1" width="40.42578125" customWidth="1"/>
    <col min="2" max="2" width="25" bestFit="1" customWidth="1"/>
    <col min="3" max="3" width="22.5703125" bestFit="1" customWidth="1"/>
    <col min="4" max="4" width="23.140625" bestFit="1" customWidth="1"/>
  </cols>
  <sheetData>
    <row r="1" spans="1:31" x14ac:dyDescent="0.25">
      <c r="A1" s="40" t="s">
        <v>1</v>
      </c>
      <c r="B1" s="41" t="s">
        <v>23</v>
      </c>
      <c r="C1" s="42" t="s">
        <v>31</v>
      </c>
      <c r="D1" s="41" t="s">
        <v>40</v>
      </c>
      <c r="E1" s="42" t="s">
        <v>47</v>
      </c>
      <c r="F1" s="41" t="s">
        <v>53</v>
      </c>
      <c r="G1" s="42" t="s">
        <v>61</v>
      </c>
      <c r="H1" s="41" t="s">
        <v>68</v>
      </c>
      <c r="I1" s="42" t="s">
        <v>75</v>
      </c>
      <c r="J1" s="41" t="s">
        <v>81</v>
      </c>
      <c r="K1" s="42" t="s">
        <v>87</v>
      </c>
      <c r="L1" s="41" t="s">
        <v>93</v>
      </c>
      <c r="M1" s="42" t="s">
        <v>99</v>
      </c>
      <c r="N1" s="41" t="s">
        <v>105</v>
      </c>
      <c r="O1" s="42" t="s">
        <v>111</v>
      </c>
      <c r="P1" s="41" t="s">
        <v>117</v>
      </c>
      <c r="Q1" s="42" t="s">
        <v>123</v>
      </c>
      <c r="R1" s="41" t="s">
        <v>129</v>
      </c>
      <c r="S1" s="42" t="s">
        <v>135</v>
      </c>
      <c r="T1" s="41" t="s">
        <v>141</v>
      </c>
      <c r="U1" s="42" t="s">
        <v>147</v>
      </c>
      <c r="V1" s="41" t="s">
        <v>153</v>
      </c>
      <c r="W1" s="42" t="s">
        <v>158</v>
      </c>
      <c r="X1" s="41" t="s">
        <v>164</v>
      </c>
      <c r="Y1" s="42" t="s">
        <v>170</v>
      </c>
      <c r="Z1" s="41" t="s">
        <v>175</v>
      </c>
      <c r="AA1" s="42" t="s">
        <v>181</v>
      </c>
      <c r="AB1" s="41" t="s">
        <v>186</v>
      </c>
      <c r="AC1" s="42" t="s">
        <v>192</v>
      </c>
      <c r="AD1" s="41" t="s">
        <v>197</v>
      </c>
      <c r="AE1" s="42" t="s">
        <v>202</v>
      </c>
    </row>
    <row r="2" spans="1:31" x14ac:dyDescent="0.25">
      <c r="A2" s="40" t="s">
        <v>2</v>
      </c>
      <c r="B2" s="3" t="s">
        <v>24</v>
      </c>
      <c r="C2" s="7" t="s">
        <v>32</v>
      </c>
      <c r="D2" s="3" t="s">
        <v>41</v>
      </c>
      <c r="E2" s="7" t="s">
        <v>48</v>
      </c>
      <c r="F2" s="3" t="s">
        <v>54</v>
      </c>
      <c r="G2" s="7" t="s">
        <v>62</v>
      </c>
      <c r="H2" s="3" t="s">
        <v>69</v>
      </c>
      <c r="I2" s="7" t="s">
        <v>76</v>
      </c>
      <c r="J2" s="3" t="s">
        <v>82</v>
      </c>
      <c r="K2" s="7" t="s">
        <v>88</v>
      </c>
      <c r="L2" s="3" t="s">
        <v>94</v>
      </c>
      <c r="M2" s="7" t="s">
        <v>100</v>
      </c>
      <c r="N2" s="3" t="s">
        <v>106</v>
      </c>
      <c r="O2" s="7" t="s">
        <v>112</v>
      </c>
      <c r="P2" s="3" t="s">
        <v>118</v>
      </c>
      <c r="Q2" s="7" t="s">
        <v>124</v>
      </c>
      <c r="R2" s="3" t="s">
        <v>130</v>
      </c>
      <c r="S2" s="7" t="s">
        <v>136</v>
      </c>
      <c r="T2" s="3" t="s">
        <v>142</v>
      </c>
      <c r="U2" s="7" t="s">
        <v>148</v>
      </c>
      <c r="V2" s="3" t="s">
        <v>154</v>
      </c>
      <c r="W2" s="7" t="s">
        <v>159</v>
      </c>
      <c r="X2" s="3" t="s">
        <v>165</v>
      </c>
      <c r="Y2" s="7" t="s">
        <v>171</v>
      </c>
      <c r="Z2" s="3" t="s">
        <v>176</v>
      </c>
      <c r="AA2" s="7" t="s">
        <v>182</v>
      </c>
      <c r="AB2" s="3" t="s">
        <v>187</v>
      </c>
      <c r="AC2" s="7" t="s">
        <v>193</v>
      </c>
      <c r="AD2" s="3" t="s">
        <v>198</v>
      </c>
      <c r="AE2" s="7" t="s">
        <v>203</v>
      </c>
    </row>
    <row r="3" spans="1:31" x14ac:dyDescent="0.25">
      <c r="A3" s="40" t="s">
        <v>3</v>
      </c>
      <c r="B3" s="41" t="s">
        <v>25</v>
      </c>
      <c r="C3" s="42" t="s">
        <v>33</v>
      </c>
      <c r="D3" s="41" t="s">
        <v>42</v>
      </c>
      <c r="E3" s="42" t="s">
        <v>25</v>
      </c>
      <c r="F3" s="41" t="s">
        <v>55</v>
      </c>
      <c r="G3" s="42" t="s">
        <v>63</v>
      </c>
      <c r="H3" s="41" t="s">
        <v>25</v>
      </c>
      <c r="I3" s="42" t="s">
        <v>42</v>
      </c>
      <c r="J3" s="41" t="s">
        <v>55</v>
      </c>
      <c r="K3" s="42" t="s">
        <v>33</v>
      </c>
      <c r="L3" s="41" t="s">
        <v>25</v>
      </c>
      <c r="M3" s="42" t="s">
        <v>63</v>
      </c>
      <c r="N3" s="41" t="s">
        <v>42</v>
      </c>
      <c r="O3" s="42" t="s">
        <v>25</v>
      </c>
      <c r="P3" s="41" t="s">
        <v>55</v>
      </c>
      <c r="Q3" s="42" t="s">
        <v>33</v>
      </c>
      <c r="R3" s="41" t="s">
        <v>25</v>
      </c>
      <c r="S3" s="42" t="s">
        <v>63</v>
      </c>
      <c r="T3" s="41" t="s">
        <v>42</v>
      </c>
      <c r="U3" s="42" t="s">
        <v>25</v>
      </c>
      <c r="V3" s="41" t="s">
        <v>55</v>
      </c>
      <c r="W3" s="42" t="s">
        <v>33</v>
      </c>
      <c r="X3" s="41" t="s">
        <v>25</v>
      </c>
      <c r="Y3" s="42" t="s">
        <v>63</v>
      </c>
      <c r="Z3" s="41" t="s">
        <v>42</v>
      </c>
      <c r="AA3" s="42" t="s">
        <v>25</v>
      </c>
      <c r="AB3" s="41" t="s">
        <v>55</v>
      </c>
      <c r="AC3" s="42" t="s">
        <v>42</v>
      </c>
      <c r="AD3" s="41" t="s">
        <v>25</v>
      </c>
      <c r="AE3" s="42" t="s">
        <v>63</v>
      </c>
    </row>
    <row r="4" spans="1:31" x14ac:dyDescent="0.25">
      <c r="A4" s="40" t="s">
        <v>4</v>
      </c>
      <c r="B4" s="3" t="s">
        <v>303</v>
      </c>
      <c r="C4" s="7" t="s">
        <v>34</v>
      </c>
      <c r="D4" s="3" t="s">
        <v>43</v>
      </c>
      <c r="E4" s="7" t="s">
        <v>49</v>
      </c>
      <c r="F4" s="3" t="s">
        <v>56</v>
      </c>
      <c r="G4" s="7" t="s">
        <v>64</v>
      </c>
      <c r="H4" s="3" t="s">
        <v>70</v>
      </c>
      <c r="I4" s="7" t="s">
        <v>77</v>
      </c>
      <c r="J4" s="3" t="s">
        <v>83</v>
      </c>
      <c r="K4" s="7" t="s">
        <v>89</v>
      </c>
      <c r="L4" s="3" t="s">
        <v>95</v>
      </c>
      <c r="M4" s="7" t="s">
        <v>101</v>
      </c>
      <c r="N4" s="3" t="s">
        <v>107</v>
      </c>
      <c r="O4" s="7" t="s">
        <v>113</v>
      </c>
      <c r="P4" s="3" t="s">
        <v>119</v>
      </c>
      <c r="Q4" s="7" t="s">
        <v>125</v>
      </c>
      <c r="R4" s="3" t="s">
        <v>131</v>
      </c>
      <c r="S4" s="7" t="s">
        <v>137</v>
      </c>
      <c r="T4" s="3" t="s">
        <v>143</v>
      </c>
      <c r="U4" s="7" t="s">
        <v>149</v>
      </c>
      <c r="V4" s="3" t="s">
        <v>56</v>
      </c>
      <c r="W4" s="7" t="s">
        <v>160</v>
      </c>
      <c r="X4" s="3" t="s">
        <v>166</v>
      </c>
      <c r="Y4" s="7" t="s">
        <v>172</v>
      </c>
      <c r="Z4" s="3" t="s">
        <v>177</v>
      </c>
      <c r="AA4" s="7" t="s">
        <v>183</v>
      </c>
      <c r="AB4" s="3" t="s">
        <v>188</v>
      </c>
      <c r="AC4" s="7" t="s">
        <v>194</v>
      </c>
      <c r="AD4" s="3" t="s">
        <v>199</v>
      </c>
      <c r="AE4" s="7" t="s">
        <v>204</v>
      </c>
    </row>
    <row r="5" spans="1:31" x14ac:dyDescent="0.25">
      <c r="A5" s="40" t="s">
        <v>5</v>
      </c>
      <c r="B5" s="41" t="s">
        <v>26</v>
      </c>
      <c r="C5" s="42" t="s">
        <v>35</v>
      </c>
      <c r="D5" s="41" t="s">
        <v>26</v>
      </c>
      <c r="E5" s="42" t="s">
        <v>35</v>
      </c>
      <c r="F5" s="41" t="s">
        <v>26</v>
      </c>
      <c r="G5" s="42" t="s">
        <v>35</v>
      </c>
      <c r="H5" s="41" t="s">
        <v>26</v>
      </c>
      <c r="I5" s="42" t="s">
        <v>35</v>
      </c>
      <c r="J5" s="41" t="s">
        <v>26</v>
      </c>
      <c r="K5" s="42" t="s">
        <v>35</v>
      </c>
      <c r="L5" s="41" t="s">
        <v>26</v>
      </c>
      <c r="M5" s="42" t="s">
        <v>35</v>
      </c>
      <c r="N5" s="41" t="s">
        <v>26</v>
      </c>
      <c r="O5" s="42" t="s">
        <v>35</v>
      </c>
      <c r="P5" s="41" t="s">
        <v>26</v>
      </c>
      <c r="Q5" s="42" t="s">
        <v>35</v>
      </c>
      <c r="R5" s="41" t="s">
        <v>26</v>
      </c>
      <c r="S5" s="42" t="s">
        <v>35</v>
      </c>
      <c r="T5" s="41" t="s">
        <v>26</v>
      </c>
      <c r="U5" s="42" t="s">
        <v>35</v>
      </c>
      <c r="V5" s="41" t="s">
        <v>26</v>
      </c>
      <c r="W5" s="42" t="s">
        <v>35</v>
      </c>
      <c r="X5" s="41" t="s">
        <v>26</v>
      </c>
      <c r="Y5" s="42" t="s">
        <v>26</v>
      </c>
      <c r="Z5" s="41" t="s">
        <v>35</v>
      </c>
      <c r="AA5" s="42" t="s">
        <v>35</v>
      </c>
      <c r="AB5" s="41" t="s">
        <v>26</v>
      </c>
      <c r="AC5" s="42" t="s">
        <v>35</v>
      </c>
      <c r="AD5" s="41" t="s">
        <v>26</v>
      </c>
      <c r="AE5" s="42" t="s">
        <v>35</v>
      </c>
    </row>
    <row r="6" spans="1:31" x14ac:dyDescent="0.25">
      <c r="A6" s="40" t="s">
        <v>6</v>
      </c>
      <c r="B6" s="41">
        <v>28</v>
      </c>
      <c r="C6" s="42">
        <v>35</v>
      </c>
      <c r="D6" s="41">
        <v>32</v>
      </c>
      <c r="E6" s="42">
        <v>26</v>
      </c>
      <c r="F6" s="41">
        <v>30</v>
      </c>
      <c r="G6" s="42">
        <v>38</v>
      </c>
      <c r="H6" s="41">
        <v>29</v>
      </c>
      <c r="I6" s="42">
        <v>27</v>
      </c>
      <c r="J6" s="41">
        <v>42</v>
      </c>
      <c r="K6" s="42">
        <v>25</v>
      </c>
      <c r="L6" s="41">
        <v>33</v>
      </c>
      <c r="M6" s="42">
        <v>29</v>
      </c>
      <c r="N6" s="41">
        <v>36</v>
      </c>
      <c r="O6" s="42">
        <v>27</v>
      </c>
      <c r="P6" s="41">
        <v>40</v>
      </c>
      <c r="Q6" s="42">
        <v>31</v>
      </c>
      <c r="R6" s="41">
        <v>37</v>
      </c>
      <c r="S6" s="42">
        <v>26</v>
      </c>
      <c r="T6" s="41">
        <v>50</v>
      </c>
      <c r="U6" s="42">
        <v>28</v>
      </c>
      <c r="V6" s="41">
        <v>24</v>
      </c>
      <c r="W6" s="42">
        <v>45</v>
      </c>
      <c r="X6" s="41">
        <v>31</v>
      </c>
      <c r="Y6" s="42">
        <v>34</v>
      </c>
      <c r="Z6" s="41">
        <v>30</v>
      </c>
      <c r="AA6" s="42">
        <v>29</v>
      </c>
      <c r="AB6" s="41">
        <v>33</v>
      </c>
      <c r="AC6" s="42">
        <v>28</v>
      </c>
      <c r="AD6" s="41">
        <v>30</v>
      </c>
      <c r="AE6" s="42">
        <v>36</v>
      </c>
    </row>
    <row r="7" spans="1:31" x14ac:dyDescent="0.25">
      <c r="A7" s="40" t="s">
        <v>7</v>
      </c>
      <c r="B7" s="43" t="s">
        <v>27</v>
      </c>
      <c r="C7" s="45" t="s">
        <v>36</v>
      </c>
      <c r="D7" s="43" t="s">
        <v>44</v>
      </c>
      <c r="E7" s="45" t="s">
        <v>50</v>
      </c>
      <c r="F7" s="43" t="s">
        <v>57</v>
      </c>
      <c r="G7" s="45" t="s">
        <v>65</v>
      </c>
      <c r="H7" s="43" t="s">
        <v>71</v>
      </c>
      <c r="I7" s="45" t="s">
        <v>78</v>
      </c>
      <c r="J7" s="43" t="s">
        <v>84</v>
      </c>
      <c r="K7" s="45" t="s">
        <v>90</v>
      </c>
      <c r="L7" s="43" t="s">
        <v>96</v>
      </c>
      <c r="M7" s="45" t="s">
        <v>102</v>
      </c>
      <c r="N7" s="43" t="s">
        <v>108</v>
      </c>
      <c r="O7" s="45" t="s">
        <v>114</v>
      </c>
      <c r="P7" s="43" t="s">
        <v>120</v>
      </c>
      <c r="Q7" s="45" t="s">
        <v>126</v>
      </c>
      <c r="R7" s="43" t="s">
        <v>132</v>
      </c>
      <c r="S7" s="45" t="s">
        <v>138</v>
      </c>
      <c r="T7" s="43" t="s">
        <v>144</v>
      </c>
      <c r="U7" s="45" t="s">
        <v>150</v>
      </c>
      <c r="V7" s="43" t="s">
        <v>155</v>
      </c>
      <c r="W7" s="45" t="s">
        <v>161</v>
      </c>
      <c r="X7" s="43" t="s">
        <v>167</v>
      </c>
      <c r="Y7" s="45" t="s">
        <v>173</v>
      </c>
      <c r="Z7" s="43" t="s">
        <v>178</v>
      </c>
      <c r="AA7" s="45" t="s">
        <v>184</v>
      </c>
      <c r="AB7" s="43" t="s">
        <v>189</v>
      </c>
      <c r="AC7" s="45" t="s">
        <v>195</v>
      </c>
      <c r="AD7" s="43" t="s">
        <v>200</v>
      </c>
      <c r="AE7" s="45" t="s">
        <v>205</v>
      </c>
    </row>
    <row r="8" spans="1:31" x14ac:dyDescent="0.25">
      <c r="A8" s="40" t="s">
        <v>8</v>
      </c>
      <c r="B8" s="41">
        <f t="shared" ref="B8:AE8" ca="1" si="0">DATEDIF(B7,TODAY(),"Y")</f>
        <v>7</v>
      </c>
      <c r="C8" s="42">
        <f t="shared" ca="1" si="0"/>
        <v>8</v>
      </c>
      <c r="D8" s="41">
        <f t="shared" ca="1" si="0"/>
        <v>7</v>
      </c>
      <c r="E8" s="42">
        <f t="shared" ca="1" si="0"/>
        <v>5</v>
      </c>
      <c r="F8" s="41">
        <f t="shared" ca="1" si="0"/>
        <v>5</v>
      </c>
      <c r="G8" s="42">
        <f t="shared" ca="1" si="0"/>
        <v>10</v>
      </c>
      <c r="H8" s="41">
        <f t="shared" ca="1" si="0"/>
        <v>6</v>
      </c>
      <c r="I8" s="42">
        <f t="shared" ca="1" si="0"/>
        <v>4</v>
      </c>
      <c r="J8" s="41">
        <f t="shared" ca="1" si="0"/>
        <v>12</v>
      </c>
      <c r="K8" s="42">
        <f t="shared" ca="1" si="0"/>
        <v>3</v>
      </c>
      <c r="L8" s="41">
        <f t="shared" ca="1" si="0"/>
        <v>6</v>
      </c>
      <c r="M8" s="42">
        <f t="shared" ca="1" si="0"/>
        <v>4</v>
      </c>
      <c r="N8" s="41">
        <f t="shared" ca="1" si="0"/>
        <v>9</v>
      </c>
      <c r="O8" s="42">
        <f t="shared" ca="1" si="0"/>
        <v>3</v>
      </c>
      <c r="P8" s="41">
        <f t="shared" ca="1" si="0"/>
        <v>11</v>
      </c>
      <c r="Q8" s="42">
        <f t="shared" ca="1" si="0"/>
        <v>6</v>
      </c>
      <c r="R8" s="41">
        <f t="shared" ca="1" si="0"/>
        <v>10</v>
      </c>
      <c r="S8" s="42">
        <f t="shared" ca="1" si="0"/>
        <v>3</v>
      </c>
      <c r="T8" s="41">
        <f t="shared" ca="1" si="0"/>
        <v>16</v>
      </c>
      <c r="U8" s="42">
        <f t="shared" ca="1" si="0"/>
        <v>4</v>
      </c>
      <c r="V8" s="41">
        <f t="shared" ca="1" si="0"/>
        <v>2</v>
      </c>
      <c r="W8" s="42">
        <f t="shared" ca="1" si="0"/>
        <v>14</v>
      </c>
      <c r="X8" s="41">
        <f t="shared" ca="1" si="0"/>
        <v>5</v>
      </c>
      <c r="Y8" s="42">
        <f t="shared" ca="1" si="0"/>
        <v>8</v>
      </c>
      <c r="Z8" s="41">
        <f t="shared" ca="1" si="0"/>
        <v>6</v>
      </c>
      <c r="AA8" s="42">
        <f t="shared" ca="1" si="0"/>
        <v>5</v>
      </c>
      <c r="AB8" s="41">
        <f t="shared" ca="1" si="0"/>
        <v>7</v>
      </c>
      <c r="AC8" s="42">
        <f t="shared" ca="1" si="0"/>
        <v>4</v>
      </c>
      <c r="AD8" s="41">
        <f t="shared" ca="1" si="0"/>
        <v>5</v>
      </c>
      <c r="AE8" s="42">
        <f t="shared" ca="1" si="0"/>
        <v>8</v>
      </c>
    </row>
    <row r="9" spans="1:31" x14ac:dyDescent="0.25">
      <c r="A9" s="40" t="s">
        <v>9</v>
      </c>
      <c r="B9" s="41" t="s">
        <v>28</v>
      </c>
      <c r="C9" s="42" t="s">
        <v>37</v>
      </c>
      <c r="D9" s="41" t="s">
        <v>45</v>
      </c>
      <c r="E9" s="42" t="s">
        <v>51</v>
      </c>
      <c r="F9" s="41" t="s">
        <v>58</v>
      </c>
      <c r="G9" s="42" t="s">
        <v>66</v>
      </c>
      <c r="H9" s="41" t="s">
        <v>72</v>
      </c>
      <c r="I9" s="42" t="s">
        <v>79</v>
      </c>
      <c r="J9" s="41" t="s">
        <v>85</v>
      </c>
      <c r="K9" s="42" t="s">
        <v>91</v>
      </c>
      <c r="L9" s="41" t="s">
        <v>97</v>
      </c>
      <c r="M9" s="42" t="s">
        <v>103</v>
      </c>
      <c r="N9" s="41" t="s">
        <v>109</v>
      </c>
      <c r="O9" s="42" t="s">
        <v>115</v>
      </c>
      <c r="P9" s="41" t="s">
        <v>121</v>
      </c>
      <c r="Q9" s="42" t="s">
        <v>127</v>
      </c>
      <c r="R9" s="41" t="s">
        <v>133</v>
      </c>
      <c r="S9" s="42" t="s">
        <v>139</v>
      </c>
      <c r="T9" s="41" t="s">
        <v>145</v>
      </c>
      <c r="U9" s="42" t="s">
        <v>151</v>
      </c>
      <c r="V9" s="41" t="s">
        <v>156</v>
      </c>
      <c r="W9" s="42" t="s">
        <v>162</v>
      </c>
      <c r="X9" s="41" t="s">
        <v>168</v>
      </c>
      <c r="Y9" s="42" t="s">
        <v>85</v>
      </c>
      <c r="Z9" s="41" t="s">
        <v>179</v>
      </c>
      <c r="AA9" s="42" t="s">
        <v>51</v>
      </c>
      <c r="AB9" s="41" t="s">
        <v>190</v>
      </c>
      <c r="AC9" s="42" t="s">
        <v>58</v>
      </c>
      <c r="AD9" s="41" t="s">
        <v>79</v>
      </c>
      <c r="AE9" s="42" t="s">
        <v>97</v>
      </c>
    </row>
    <row r="10" spans="1:31" x14ac:dyDescent="0.25">
      <c r="A10" s="40" t="s">
        <v>10</v>
      </c>
      <c r="B10" s="44">
        <v>65000</v>
      </c>
      <c r="C10" s="46">
        <v>72000</v>
      </c>
      <c r="D10" s="44">
        <v>68000</v>
      </c>
      <c r="E10" s="46">
        <v>70000</v>
      </c>
      <c r="F10" s="44">
        <v>45000</v>
      </c>
      <c r="G10" s="46">
        <v>80000</v>
      </c>
      <c r="H10" s="44">
        <v>90000</v>
      </c>
      <c r="I10" s="46">
        <v>55000</v>
      </c>
      <c r="J10" s="44">
        <v>95000</v>
      </c>
      <c r="K10" s="46">
        <v>40000</v>
      </c>
      <c r="L10" s="44">
        <v>78000</v>
      </c>
      <c r="M10" s="46">
        <v>52000</v>
      </c>
      <c r="N10" s="44">
        <v>74000</v>
      </c>
      <c r="O10" s="46">
        <v>58000</v>
      </c>
      <c r="P10" s="44">
        <v>88000</v>
      </c>
      <c r="Q10" s="46">
        <v>62000</v>
      </c>
      <c r="R10" s="44">
        <v>110000</v>
      </c>
      <c r="S10" s="46">
        <v>47000</v>
      </c>
      <c r="T10" s="44">
        <v>150000</v>
      </c>
      <c r="U10" s="46">
        <v>67000</v>
      </c>
      <c r="V10" s="44">
        <v>42000</v>
      </c>
      <c r="W10" s="46">
        <v>120000</v>
      </c>
      <c r="X10" s="44">
        <v>82000</v>
      </c>
      <c r="Y10" s="46">
        <v>77000</v>
      </c>
      <c r="Z10" s="44">
        <v>69000</v>
      </c>
      <c r="AA10" s="46">
        <v>85000</v>
      </c>
      <c r="AB10" s="44">
        <v>58000</v>
      </c>
      <c r="AC10" s="46">
        <v>61000</v>
      </c>
      <c r="AD10" s="44">
        <v>95000</v>
      </c>
      <c r="AE10" s="46">
        <v>83000</v>
      </c>
    </row>
    <row r="11" spans="1:31" x14ac:dyDescent="0.25">
      <c r="A11" s="40" t="s">
        <v>11</v>
      </c>
      <c r="B11" s="44">
        <v>26000</v>
      </c>
      <c r="C11" s="46">
        <v>28800</v>
      </c>
      <c r="D11" s="44">
        <v>27200</v>
      </c>
      <c r="E11" s="46">
        <v>28000</v>
      </c>
      <c r="F11" s="44">
        <v>18000</v>
      </c>
      <c r="G11" s="46">
        <v>32000</v>
      </c>
      <c r="H11" s="44">
        <v>36000</v>
      </c>
      <c r="I11" s="46">
        <v>22000</v>
      </c>
      <c r="J11" s="44">
        <v>38000</v>
      </c>
      <c r="K11" s="46">
        <v>16000</v>
      </c>
      <c r="L11" s="44">
        <v>31200</v>
      </c>
      <c r="M11" s="46">
        <v>20800</v>
      </c>
      <c r="N11" s="44">
        <v>29600</v>
      </c>
      <c r="O11" s="46">
        <v>23200</v>
      </c>
      <c r="P11" s="44">
        <v>35200</v>
      </c>
      <c r="Q11" s="46">
        <v>24800</v>
      </c>
      <c r="R11" s="44">
        <v>44000</v>
      </c>
      <c r="S11" s="46">
        <v>18800</v>
      </c>
      <c r="T11" s="44">
        <v>60000</v>
      </c>
      <c r="U11" s="46">
        <v>26800</v>
      </c>
      <c r="V11" s="44">
        <v>16800</v>
      </c>
      <c r="W11" s="46">
        <v>48000</v>
      </c>
      <c r="X11" s="44">
        <v>32800</v>
      </c>
      <c r="Y11" s="46">
        <v>30800</v>
      </c>
      <c r="Z11" s="44">
        <v>27600</v>
      </c>
      <c r="AA11" s="46">
        <v>34000</v>
      </c>
      <c r="AB11" s="44">
        <v>23200</v>
      </c>
      <c r="AC11" s="46">
        <v>24400</v>
      </c>
      <c r="AD11" s="44">
        <v>38000</v>
      </c>
      <c r="AE11" s="46">
        <v>33200</v>
      </c>
    </row>
    <row r="12" spans="1:31" x14ac:dyDescent="0.25">
      <c r="A12" s="40" t="s">
        <v>12</v>
      </c>
      <c r="B12" s="44">
        <f t="shared" ref="B12:AE12" si="1">B10*0.2</f>
        <v>13000</v>
      </c>
      <c r="C12" s="46">
        <f t="shared" si="1"/>
        <v>14400</v>
      </c>
      <c r="D12" s="44">
        <f t="shared" si="1"/>
        <v>13600</v>
      </c>
      <c r="E12" s="46">
        <f t="shared" si="1"/>
        <v>14000</v>
      </c>
      <c r="F12" s="44">
        <f t="shared" si="1"/>
        <v>9000</v>
      </c>
      <c r="G12" s="46">
        <f t="shared" si="1"/>
        <v>16000</v>
      </c>
      <c r="H12" s="44">
        <f t="shared" si="1"/>
        <v>18000</v>
      </c>
      <c r="I12" s="46">
        <f t="shared" si="1"/>
        <v>11000</v>
      </c>
      <c r="J12" s="44">
        <f t="shared" si="1"/>
        <v>19000</v>
      </c>
      <c r="K12" s="46">
        <f t="shared" si="1"/>
        <v>8000</v>
      </c>
      <c r="L12" s="44">
        <f t="shared" si="1"/>
        <v>15600</v>
      </c>
      <c r="M12" s="46">
        <f t="shared" si="1"/>
        <v>10400</v>
      </c>
      <c r="N12" s="44">
        <f t="shared" si="1"/>
        <v>14800</v>
      </c>
      <c r="O12" s="46">
        <f t="shared" si="1"/>
        <v>11600</v>
      </c>
      <c r="P12" s="44">
        <f t="shared" si="1"/>
        <v>17600</v>
      </c>
      <c r="Q12" s="46">
        <f t="shared" si="1"/>
        <v>12400</v>
      </c>
      <c r="R12" s="44">
        <f t="shared" si="1"/>
        <v>22000</v>
      </c>
      <c r="S12" s="46">
        <f t="shared" si="1"/>
        <v>9400</v>
      </c>
      <c r="T12" s="44">
        <f t="shared" si="1"/>
        <v>30000</v>
      </c>
      <c r="U12" s="46">
        <f t="shared" si="1"/>
        <v>13400</v>
      </c>
      <c r="V12" s="44">
        <f t="shared" si="1"/>
        <v>8400</v>
      </c>
      <c r="W12" s="46">
        <f t="shared" si="1"/>
        <v>24000</v>
      </c>
      <c r="X12" s="44">
        <f t="shared" si="1"/>
        <v>16400</v>
      </c>
      <c r="Y12" s="46">
        <f t="shared" si="1"/>
        <v>15400</v>
      </c>
      <c r="Z12" s="44">
        <f t="shared" si="1"/>
        <v>13800</v>
      </c>
      <c r="AA12" s="46">
        <f t="shared" si="1"/>
        <v>17000</v>
      </c>
      <c r="AB12" s="44">
        <f t="shared" si="1"/>
        <v>11600</v>
      </c>
      <c r="AC12" s="46">
        <f t="shared" si="1"/>
        <v>12200</v>
      </c>
      <c r="AD12" s="44">
        <f t="shared" si="1"/>
        <v>19000</v>
      </c>
      <c r="AE12" s="46">
        <f t="shared" si="1"/>
        <v>16600</v>
      </c>
    </row>
    <row r="13" spans="1:31" x14ac:dyDescent="0.25">
      <c r="A13" s="40" t="s">
        <v>13</v>
      </c>
      <c r="B13" s="44">
        <f t="shared" ref="B13:AE13" si="2">B10+B11+B12</f>
        <v>104000</v>
      </c>
      <c r="C13" s="46">
        <f t="shared" si="2"/>
        <v>115200</v>
      </c>
      <c r="D13" s="44">
        <f t="shared" si="2"/>
        <v>108800</v>
      </c>
      <c r="E13" s="46">
        <f t="shared" si="2"/>
        <v>112000</v>
      </c>
      <c r="F13" s="44">
        <f t="shared" si="2"/>
        <v>72000</v>
      </c>
      <c r="G13" s="46">
        <f t="shared" si="2"/>
        <v>128000</v>
      </c>
      <c r="H13" s="44">
        <f t="shared" si="2"/>
        <v>144000</v>
      </c>
      <c r="I13" s="46">
        <f t="shared" si="2"/>
        <v>88000</v>
      </c>
      <c r="J13" s="44">
        <f t="shared" si="2"/>
        <v>152000</v>
      </c>
      <c r="K13" s="46">
        <f t="shared" si="2"/>
        <v>64000</v>
      </c>
      <c r="L13" s="44">
        <f t="shared" si="2"/>
        <v>124800</v>
      </c>
      <c r="M13" s="46">
        <f t="shared" si="2"/>
        <v>83200</v>
      </c>
      <c r="N13" s="44">
        <f t="shared" si="2"/>
        <v>118400</v>
      </c>
      <c r="O13" s="46">
        <f t="shared" si="2"/>
        <v>92800</v>
      </c>
      <c r="P13" s="44">
        <f t="shared" si="2"/>
        <v>140800</v>
      </c>
      <c r="Q13" s="46">
        <f t="shared" si="2"/>
        <v>99200</v>
      </c>
      <c r="R13" s="44">
        <f t="shared" si="2"/>
        <v>176000</v>
      </c>
      <c r="S13" s="46">
        <f t="shared" si="2"/>
        <v>75200</v>
      </c>
      <c r="T13" s="44">
        <f t="shared" si="2"/>
        <v>240000</v>
      </c>
      <c r="U13" s="46">
        <f t="shared" si="2"/>
        <v>107200</v>
      </c>
      <c r="V13" s="44">
        <f t="shared" si="2"/>
        <v>67200</v>
      </c>
      <c r="W13" s="46">
        <f t="shared" si="2"/>
        <v>192000</v>
      </c>
      <c r="X13" s="44">
        <f t="shared" si="2"/>
        <v>131200</v>
      </c>
      <c r="Y13" s="46">
        <f t="shared" si="2"/>
        <v>123200</v>
      </c>
      <c r="Z13" s="44">
        <f t="shared" si="2"/>
        <v>110400</v>
      </c>
      <c r="AA13" s="46">
        <f t="shared" si="2"/>
        <v>136000</v>
      </c>
      <c r="AB13" s="44">
        <f t="shared" si="2"/>
        <v>92800</v>
      </c>
      <c r="AC13" s="46">
        <f t="shared" si="2"/>
        <v>97600</v>
      </c>
      <c r="AD13" s="44">
        <f t="shared" si="2"/>
        <v>152000</v>
      </c>
      <c r="AE13" s="46">
        <f t="shared" si="2"/>
        <v>132800</v>
      </c>
    </row>
    <row r="14" spans="1:31" x14ac:dyDescent="0.25">
      <c r="A14" s="40" t="s">
        <v>14</v>
      </c>
      <c r="B14" s="44">
        <f t="shared" ref="B14:AE14" si="3">B13*0.1</f>
        <v>10400</v>
      </c>
      <c r="C14" s="46">
        <f t="shared" si="3"/>
        <v>11520</v>
      </c>
      <c r="D14" s="44">
        <f t="shared" si="3"/>
        <v>10880</v>
      </c>
      <c r="E14" s="46">
        <f t="shared" si="3"/>
        <v>11200</v>
      </c>
      <c r="F14" s="44">
        <f t="shared" si="3"/>
        <v>7200</v>
      </c>
      <c r="G14" s="46">
        <f t="shared" si="3"/>
        <v>12800</v>
      </c>
      <c r="H14" s="44">
        <f t="shared" si="3"/>
        <v>14400</v>
      </c>
      <c r="I14" s="46">
        <f t="shared" si="3"/>
        <v>8800</v>
      </c>
      <c r="J14" s="44">
        <f t="shared" si="3"/>
        <v>15200</v>
      </c>
      <c r="K14" s="46">
        <f t="shared" si="3"/>
        <v>6400</v>
      </c>
      <c r="L14" s="44">
        <f t="shared" si="3"/>
        <v>12480</v>
      </c>
      <c r="M14" s="46">
        <f t="shared" si="3"/>
        <v>8320</v>
      </c>
      <c r="N14" s="44">
        <f t="shared" si="3"/>
        <v>11840</v>
      </c>
      <c r="O14" s="46">
        <f t="shared" si="3"/>
        <v>9280</v>
      </c>
      <c r="P14" s="44">
        <f t="shared" si="3"/>
        <v>14080</v>
      </c>
      <c r="Q14" s="46">
        <f t="shared" si="3"/>
        <v>9920</v>
      </c>
      <c r="R14" s="44">
        <f t="shared" si="3"/>
        <v>17600</v>
      </c>
      <c r="S14" s="46">
        <f t="shared" si="3"/>
        <v>7520</v>
      </c>
      <c r="T14" s="44">
        <f t="shared" si="3"/>
        <v>24000</v>
      </c>
      <c r="U14" s="46">
        <f t="shared" si="3"/>
        <v>10720</v>
      </c>
      <c r="V14" s="44">
        <f t="shared" si="3"/>
        <v>6720</v>
      </c>
      <c r="W14" s="46">
        <f t="shared" si="3"/>
        <v>19200</v>
      </c>
      <c r="X14" s="44">
        <f t="shared" si="3"/>
        <v>13120</v>
      </c>
      <c r="Y14" s="46">
        <f t="shared" si="3"/>
        <v>12320</v>
      </c>
      <c r="Z14" s="44">
        <f t="shared" si="3"/>
        <v>11040</v>
      </c>
      <c r="AA14" s="46">
        <f t="shared" si="3"/>
        <v>13600</v>
      </c>
      <c r="AB14" s="44">
        <f t="shared" si="3"/>
        <v>9280</v>
      </c>
      <c r="AC14" s="46">
        <f t="shared" si="3"/>
        <v>9760</v>
      </c>
      <c r="AD14" s="44">
        <f t="shared" si="3"/>
        <v>15200</v>
      </c>
      <c r="AE14" s="46">
        <f t="shared" si="3"/>
        <v>13280</v>
      </c>
    </row>
    <row r="15" spans="1:31" x14ac:dyDescent="0.25">
      <c r="A15" s="40" t="s">
        <v>15</v>
      </c>
      <c r="B15" s="44">
        <f t="shared" ref="B15:AE15" si="4">B13-B14</f>
        <v>93600</v>
      </c>
      <c r="C15" s="46">
        <f t="shared" si="4"/>
        <v>103680</v>
      </c>
      <c r="D15" s="44">
        <f t="shared" si="4"/>
        <v>97920</v>
      </c>
      <c r="E15" s="46">
        <f t="shared" si="4"/>
        <v>100800</v>
      </c>
      <c r="F15" s="44">
        <f t="shared" si="4"/>
        <v>64800</v>
      </c>
      <c r="G15" s="46">
        <f t="shared" si="4"/>
        <v>115200</v>
      </c>
      <c r="H15" s="44">
        <f t="shared" si="4"/>
        <v>129600</v>
      </c>
      <c r="I15" s="46">
        <f t="shared" si="4"/>
        <v>79200</v>
      </c>
      <c r="J15" s="44">
        <f t="shared" si="4"/>
        <v>136800</v>
      </c>
      <c r="K15" s="46">
        <f t="shared" si="4"/>
        <v>57600</v>
      </c>
      <c r="L15" s="44">
        <f t="shared" si="4"/>
        <v>112320</v>
      </c>
      <c r="M15" s="46">
        <f t="shared" si="4"/>
        <v>74880</v>
      </c>
      <c r="N15" s="44">
        <f t="shared" si="4"/>
        <v>106560</v>
      </c>
      <c r="O15" s="46">
        <f t="shared" si="4"/>
        <v>83520</v>
      </c>
      <c r="P15" s="44">
        <f t="shared" si="4"/>
        <v>126720</v>
      </c>
      <c r="Q15" s="46">
        <f t="shared" si="4"/>
        <v>89280</v>
      </c>
      <c r="R15" s="44">
        <f t="shared" si="4"/>
        <v>158400</v>
      </c>
      <c r="S15" s="46">
        <f t="shared" si="4"/>
        <v>67680</v>
      </c>
      <c r="T15" s="44">
        <f t="shared" si="4"/>
        <v>216000</v>
      </c>
      <c r="U15" s="46">
        <f t="shared" si="4"/>
        <v>96480</v>
      </c>
      <c r="V15" s="44">
        <f t="shared" si="4"/>
        <v>60480</v>
      </c>
      <c r="W15" s="46">
        <f t="shared" si="4"/>
        <v>172800</v>
      </c>
      <c r="X15" s="44">
        <f t="shared" si="4"/>
        <v>118080</v>
      </c>
      <c r="Y15" s="46">
        <f t="shared" si="4"/>
        <v>110880</v>
      </c>
      <c r="Z15" s="44">
        <f t="shared" si="4"/>
        <v>99360</v>
      </c>
      <c r="AA15" s="46">
        <f t="shared" si="4"/>
        <v>122400</v>
      </c>
      <c r="AB15" s="44">
        <f t="shared" si="4"/>
        <v>83520</v>
      </c>
      <c r="AC15" s="46">
        <f t="shared" si="4"/>
        <v>87840</v>
      </c>
      <c r="AD15" s="44">
        <f t="shared" si="4"/>
        <v>136800</v>
      </c>
      <c r="AE15" s="46">
        <f t="shared" si="4"/>
        <v>119520</v>
      </c>
    </row>
    <row r="16" spans="1:31" x14ac:dyDescent="0.25">
      <c r="A16" s="40" t="s">
        <v>16</v>
      </c>
      <c r="B16" s="41" t="s">
        <v>29</v>
      </c>
      <c r="C16" s="42" t="s">
        <v>38</v>
      </c>
      <c r="D16" s="41" t="s">
        <v>29</v>
      </c>
      <c r="E16" s="42" t="s">
        <v>38</v>
      </c>
      <c r="F16" s="41" t="s">
        <v>59</v>
      </c>
      <c r="G16" s="42" t="s">
        <v>29</v>
      </c>
      <c r="H16" s="41" t="s">
        <v>73</v>
      </c>
      <c r="I16" s="42" t="s">
        <v>38</v>
      </c>
      <c r="J16" s="41" t="s">
        <v>73</v>
      </c>
      <c r="K16" s="42" t="s">
        <v>59</v>
      </c>
      <c r="L16" s="41" t="s">
        <v>38</v>
      </c>
      <c r="M16" s="42" t="s">
        <v>38</v>
      </c>
      <c r="N16" s="41" t="s">
        <v>29</v>
      </c>
      <c r="O16" s="42" t="s">
        <v>59</v>
      </c>
      <c r="P16" s="41" t="s">
        <v>73</v>
      </c>
      <c r="Q16" s="42" t="s">
        <v>38</v>
      </c>
      <c r="R16" s="41" t="s">
        <v>73</v>
      </c>
      <c r="S16" s="42" t="s">
        <v>59</v>
      </c>
      <c r="T16" s="41" t="s">
        <v>73</v>
      </c>
      <c r="U16" s="42" t="s">
        <v>38</v>
      </c>
      <c r="V16" s="41" t="s">
        <v>59</v>
      </c>
      <c r="W16" s="42" t="s">
        <v>73</v>
      </c>
      <c r="X16" s="41" t="s">
        <v>38</v>
      </c>
      <c r="Y16" s="42" t="s">
        <v>29</v>
      </c>
      <c r="Z16" s="41" t="s">
        <v>38</v>
      </c>
      <c r="AA16" s="42" t="s">
        <v>73</v>
      </c>
      <c r="AB16" s="41" t="s">
        <v>59</v>
      </c>
      <c r="AC16" s="42" t="s">
        <v>38</v>
      </c>
      <c r="AD16" s="41" t="s">
        <v>73</v>
      </c>
      <c r="AE16" s="42" t="s">
        <v>29</v>
      </c>
    </row>
    <row r="17" spans="1:31" x14ac:dyDescent="0.25">
      <c r="A17" s="40" t="s">
        <v>17</v>
      </c>
      <c r="B17" s="41">
        <v>4</v>
      </c>
      <c r="C17" s="42">
        <v>3</v>
      </c>
      <c r="D17" s="41">
        <v>5</v>
      </c>
      <c r="E17" s="42">
        <v>4</v>
      </c>
      <c r="F17" s="41">
        <v>3</v>
      </c>
      <c r="G17" s="42">
        <v>5</v>
      </c>
      <c r="H17" s="41">
        <v>5</v>
      </c>
      <c r="I17" s="42">
        <v>3</v>
      </c>
      <c r="J17" s="41">
        <v>5</v>
      </c>
      <c r="K17" s="42">
        <v>2</v>
      </c>
      <c r="L17" s="41">
        <v>4</v>
      </c>
      <c r="M17" s="42">
        <v>3</v>
      </c>
      <c r="N17" s="41">
        <v>4</v>
      </c>
      <c r="O17" s="42">
        <v>3</v>
      </c>
      <c r="P17" s="41">
        <v>5</v>
      </c>
      <c r="Q17" s="42">
        <v>4</v>
      </c>
      <c r="R17" s="41">
        <v>5</v>
      </c>
      <c r="S17" s="42">
        <v>2</v>
      </c>
      <c r="T17" s="41">
        <v>5</v>
      </c>
      <c r="U17" s="42">
        <v>4</v>
      </c>
      <c r="V17" s="41">
        <v>2</v>
      </c>
      <c r="W17" s="42">
        <v>5</v>
      </c>
      <c r="X17" s="41">
        <v>4</v>
      </c>
      <c r="Y17" s="42">
        <v>4</v>
      </c>
      <c r="Z17" s="41">
        <v>4</v>
      </c>
      <c r="AA17" s="42">
        <v>5</v>
      </c>
      <c r="AB17" s="41">
        <v>3</v>
      </c>
      <c r="AC17" s="42">
        <v>4</v>
      </c>
      <c r="AD17" s="41">
        <v>5</v>
      </c>
      <c r="AE17" s="42">
        <v>4</v>
      </c>
    </row>
    <row r="18" spans="1:31" x14ac:dyDescent="0.25">
      <c r="A18" s="40" t="s">
        <v>18</v>
      </c>
      <c r="B18" s="44">
        <f t="shared" ref="B18:AE18" si="5">IF(B17&gt;=4,B13*0.05,B13*0.02)</f>
        <v>5200</v>
      </c>
      <c r="C18" s="46">
        <f t="shared" si="5"/>
        <v>2304</v>
      </c>
      <c r="D18" s="44">
        <f t="shared" si="5"/>
        <v>5440</v>
      </c>
      <c r="E18" s="46">
        <f t="shared" si="5"/>
        <v>5600</v>
      </c>
      <c r="F18" s="44">
        <f t="shared" si="5"/>
        <v>1440</v>
      </c>
      <c r="G18" s="46">
        <f t="shared" si="5"/>
        <v>6400</v>
      </c>
      <c r="H18" s="44">
        <f t="shared" si="5"/>
        <v>7200</v>
      </c>
      <c r="I18" s="46">
        <f t="shared" si="5"/>
        <v>1760</v>
      </c>
      <c r="J18" s="44">
        <f t="shared" si="5"/>
        <v>7600</v>
      </c>
      <c r="K18" s="46">
        <f t="shared" si="5"/>
        <v>1280</v>
      </c>
      <c r="L18" s="44">
        <f t="shared" si="5"/>
        <v>6240</v>
      </c>
      <c r="M18" s="46">
        <f t="shared" si="5"/>
        <v>1664</v>
      </c>
      <c r="N18" s="44">
        <f t="shared" si="5"/>
        <v>5920</v>
      </c>
      <c r="O18" s="46">
        <f t="shared" si="5"/>
        <v>1856</v>
      </c>
      <c r="P18" s="44">
        <f t="shared" si="5"/>
        <v>7040</v>
      </c>
      <c r="Q18" s="46">
        <f t="shared" si="5"/>
        <v>4960</v>
      </c>
      <c r="R18" s="44">
        <f t="shared" si="5"/>
        <v>8800</v>
      </c>
      <c r="S18" s="46">
        <f t="shared" si="5"/>
        <v>1504</v>
      </c>
      <c r="T18" s="44">
        <f t="shared" si="5"/>
        <v>12000</v>
      </c>
      <c r="U18" s="46">
        <f t="shared" si="5"/>
        <v>5360</v>
      </c>
      <c r="V18" s="44">
        <f t="shared" si="5"/>
        <v>1344</v>
      </c>
      <c r="W18" s="46">
        <f t="shared" si="5"/>
        <v>9600</v>
      </c>
      <c r="X18" s="44">
        <f t="shared" si="5"/>
        <v>6560</v>
      </c>
      <c r="Y18" s="46">
        <f t="shared" si="5"/>
        <v>6160</v>
      </c>
      <c r="Z18" s="44">
        <f t="shared" si="5"/>
        <v>5520</v>
      </c>
      <c r="AA18" s="46">
        <f t="shared" si="5"/>
        <v>6800</v>
      </c>
      <c r="AB18" s="44">
        <f t="shared" si="5"/>
        <v>1856</v>
      </c>
      <c r="AC18" s="46">
        <f t="shared" si="5"/>
        <v>4880</v>
      </c>
      <c r="AD18" s="44">
        <f t="shared" si="5"/>
        <v>7600</v>
      </c>
      <c r="AE18" s="46">
        <f t="shared" si="5"/>
        <v>6640</v>
      </c>
    </row>
    <row r="19" spans="1:31" x14ac:dyDescent="0.25">
      <c r="A19" s="40" t="s">
        <v>19</v>
      </c>
      <c r="B19" s="3" t="str">
        <f t="shared" ref="B19:AE19" si="6">LOWER(LEFT(B2,FIND(" ",B2)-1))&amp;"."&amp;LOWER(MID(B2,FIND(" ",B2)+1,100))&amp;"@company.com"</f>
        <v>aarav.sharma@company.com</v>
      </c>
      <c r="C19" s="7" t="str">
        <f t="shared" si="6"/>
        <v>priya.patel@company.com</v>
      </c>
      <c r="D19" s="3" t="str">
        <f t="shared" si="6"/>
        <v>rohit.mehta@company.com</v>
      </c>
      <c r="E19" s="7" t="str">
        <f t="shared" si="6"/>
        <v>sneha.reddy@company.com</v>
      </c>
      <c r="F19" s="3" t="str">
        <f t="shared" si="6"/>
        <v>vikram.singh@company.com</v>
      </c>
      <c r="G19" s="7" t="str">
        <f t="shared" si="6"/>
        <v>kavya.nair@company.com</v>
      </c>
      <c r="H19" s="3" t="str">
        <f t="shared" si="6"/>
        <v>arjun.kumar@company.com</v>
      </c>
      <c r="I19" s="7" t="str">
        <f t="shared" si="6"/>
        <v>divya.verma@company.com</v>
      </c>
      <c r="J19" s="3" t="str">
        <f t="shared" si="6"/>
        <v>ravi.tiwari@company.com</v>
      </c>
      <c r="K19" s="7" t="str">
        <f t="shared" si="6"/>
        <v>anjali.mishra@company.com</v>
      </c>
      <c r="L19" s="3" t="str">
        <f t="shared" si="6"/>
        <v>suresh.gupta@company.com</v>
      </c>
      <c r="M19" s="7" t="str">
        <f t="shared" si="6"/>
        <v>meera.joshi@company.com</v>
      </c>
      <c r="N19" s="3" t="str">
        <f t="shared" si="6"/>
        <v>nikhil.pandey@company.com</v>
      </c>
      <c r="O19" s="7" t="str">
        <f t="shared" si="6"/>
        <v>pooja.yadav@company.com</v>
      </c>
      <c r="P19" s="3" t="str">
        <f t="shared" si="6"/>
        <v>manoj.desai@company.com</v>
      </c>
      <c r="Q19" s="7" t="str">
        <f t="shared" si="6"/>
        <v>lakshmi.iyer@company.com</v>
      </c>
      <c r="R19" s="3" t="str">
        <f t="shared" si="6"/>
        <v>aditya.kapoor@company.com</v>
      </c>
      <c r="S19" s="7" t="str">
        <f t="shared" si="6"/>
        <v>nisha.saxena@company.com</v>
      </c>
      <c r="T19" s="3" t="str">
        <f t="shared" si="6"/>
        <v>rajesh.bose@company.com</v>
      </c>
      <c r="U19" s="7" t="str">
        <f t="shared" si="6"/>
        <v>simran.kaur@company.com</v>
      </c>
      <c r="V19" s="3" t="str">
        <f t="shared" si="6"/>
        <v>tarun.bhatt@company.com</v>
      </c>
      <c r="W19" s="7" t="str">
        <f t="shared" si="6"/>
        <v>uma.shetty@company.com</v>
      </c>
      <c r="X19" s="3" t="str">
        <f t="shared" si="6"/>
        <v>varun.malhotra@company.com</v>
      </c>
      <c r="Y19" s="7" t="str">
        <f t="shared" si="6"/>
        <v>waqar.hussain@company.com</v>
      </c>
      <c r="Z19" s="3" t="str">
        <f t="shared" si="6"/>
        <v>yamini.rao@company.com</v>
      </c>
      <c r="AA19" s="7" t="str">
        <f t="shared" si="6"/>
        <v>zara.ahmed@company.com</v>
      </c>
      <c r="AB19" s="3" t="str">
        <f t="shared" si="6"/>
        <v>ajay.choudhary@company.com</v>
      </c>
      <c r="AC19" s="7" t="str">
        <f t="shared" si="6"/>
        <v>bharti.trivedi@company.com</v>
      </c>
      <c r="AD19" s="3" t="str">
        <f t="shared" si="6"/>
        <v>chetan.rawat@company.com</v>
      </c>
      <c r="AE19" s="7" t="str">
        <f t="shared" si="6"/>
        <v>deepa.krishnan@company.com</v>
      </c>
    </row>
    <row r="20" spans="1:31" x14ac:dyDescent="0.25">
      <c r="A20" s="40" t="s">
        <v>20</v>
      </c>
      <c r="B20" s="41" t="s">
        <v>30</v>
      </c>
      <c r="C20" s="42" t="s">
        <v>39</v>
      </c>
      <c r="D20" s="41" t="s">
        <v>46</v>
      </c>
      <c r="E20" s="42" t="s">
        <v>52</v>
      </c>
      <c r="F20" s="41" t="s">
        <v>60</v>
      </c>
      <c r="G20" s="42" t="s">
        <v>67</v>
      </c>
      <c r="H20" s="41" t="s">
        <v>74</v>
      </c>
      <c r="I20" s="42" t="s">
        <v>80</v>
      </c>
      <c r="J20" s="41" t="s">
        <v>86</v>
      </c>
      <c r="K20" s="42" t="s">
        <v>92</v>
      </c>
      <c r="L20" s="41" t="s">
        <v>98</v>
      </c>
      <c r="M20" s="42" t="s">
        <v>104</v>
      </c>
      <c r="N20" s="41" t="s">
        <v>110</v>
      </c>
      <c r="O20" s="42" t="s">
        <v>116</v>
      </c>
      <c r="P20" s="41" t="s">
        <v>122</v>
      </c>
      <c r="Q20" s="42" t="s">
        <v>128</v>
      </c>
      <c r="R20" s="41" t="s">
        <v>134</v>
      </c>
      <c r="S20" s="42" t="s">
        <v>140</v>
      </c>
      <c r="T20" s="41" t="s">
        <v>146</v>
      </c>
      <c r="U20" s="42" t="s">
        <v>152</v>
      </c>
      <c r="V20" s="41" t="s">
        <v>157</v>
      </c>
      <c r="W20" s="42" t="s">
        <v>163</v>
      </c>
      <c r="X20" s="41" t="s">
        <v>169</v>
      </c>
      <c r="Y20" s="42" t="s">
        <v>174</v>
      </c>
      <c r="Z20" s="41" t="s">
        <v>180</v>
      </c>
      <c r="AA20" s="42" t="s">
        <v>185</v>
      </c>
      <c r="AB20" s="41" t="s">
        <v>191</v>
      </c>
      <c r="AC20" s="42" t="s">
        <v>196</v>
      </c>
      <c r="AD20" s="41" t="s">
        <v>201</v>
      </c>
      <c r="AE20" s="42" t="s">
        <v>206</v>
      </c>
    </row>
    <row r="21" spans="1:31" x14ac:dyDescent="0.25">
      <c r="A21" s="40" t="s">
        <v>21</v>
      </c>
      <c r="B21" s="41" t="str">
        <f t="shared" ref="B21:AE21" si="7">TEXT(B7,"MMM-YYYY")</f>
        <v>Mar-2019</v>
      </c>
      <c r="C21" s="42" t="str">
        <f t="shared" si="7"/>
        <v>Jun-2017</v>
      </c>
      <c r="D21" s="41" t="str">
        <f t="shared" si="7"/>
        <v>Sep-2018</v>
      </c>
      <c r="E21" s="42" t="str">
        <f t="shared" si="7"/>
        <v>Jan-2021</v>
      </c>
      <c r="F21" s="41" t="str">
        <f t="shared" si="7"/>
        <v>Jul-2020</v>
      </c>
      <c r="G21" s="42" t="str">
        <f t="shared" si="7"/>
        <v>Nov-2015</v>
      </c>
      <c r="H21" s="41" t="str">
        <f t="shared" si="7"/>
        <v>Apr-2020</v>
      </c>
      <c r="I21" s="42" t="str">
        <f t="shared" si="7"/>
        <v>Feb-2022</v>
      </c>
      <c r="J21" s="41" t="str">
        <f t="shared" si="7"/>
        <v>Aug-2013</v>
      </c>
      <c r="K21" s="42" t="str">
        <f t="shared" si="7"/>
        <v>Mar-2023</v>
      </c>
      <c r="L21" s="41" t="str">
        <f t="shared" si="7"/>
        <v>May-2019</v>
      </c>
      <c r="M21" s="42" t="str">
        <f t="shared" si="7"/>
        <v>Sep-2021</v>
      </c>
      <c r="N21" s="41" t="str">
        <f t="shared" si="7"/>
        <v>Dec-2016</v>
      </c>
      <c r="O21" s="42" t="str">
        <f t="shared" si="7"/>
        <v>Jun-2022</v>
      </c>
      <c r="P21" s="41" t="str">
        <f t="shared" si="7"/>
        <v>Oct-2014</v>
      </c>
      <c r="Q21" s="42" t="str">
        <f t="shared" si="7"/>
        <v>Jul-2019</v>
      </c>
      <c r="R21" s="41" t="str">
        <f t="shared" si="7"/>
        <v>Mar-2016</v>
      </c>
      <c r="S21" s="42" t="str">
        <f t="shared" si="7"/>
        <v>Jan-2023</v>
      </c>
      <c r="T21" s="41" t="str">
        <f t="shared" si="7"/>
        <v>Apr-2010</v>
      </c>
      <c r="U21" s="42" t="str">
        <f t="shared" si="7"/>
        <v>Nov-2021</v>
      </c>
      <c r="V21" s="41" t="str">
        <f t="shared" si="7"/>
        <v>Jan-2024</v>
      </c>
      <c r="W21" s="42" t="str">
        <f t="shared" si="7"/>
        <v>Sep-2011</v>
      </c>
      <c r="X21" s="41" t="str">
        <f t="shared" si="7"/>
        <v>Aug-2020</v>
      </c>
      <c r="Y21" s="42" t="str">
        <f t="shared" si="7"/>
        <v>Feb-2018</v>
      </c>
      <c r="Z21" s="41" t="str">
        <f t="shared" si="7"/>
        <v>Oct-2019</v>
      </c>
      <c r="AA21" s="42" t="str">
        <f t="shared" si="7"/>
        <v>Dec-2020</v>
      </c>
      <c r="AB21" s="41" t="str">
        <f t="shared" si="7"/>
        <v>Jun-2018</v>
      </c>
      <c r="AC21" s="42" t="str">
        <f t="shared" si="7"/>
        <v>Apr-2022</v>
      </c>
      <c r="AD21" s="41" t="str">
        <f t="shared" si="7"/>
        <v>Mar-2021</v>
      </c>
      <c r="AE21" s="42" t="str">
        <f t="shared" si="7"/>
        <v>Jul-2017</v>
      </c>
    </row>
    <row r="22" spans="1:31" x14ac:dyDescent="0.25">
      <c r="A22" s="40" t="s">
        <v>22</v>
      </c>
      <c r="B22" s="41" t="str">
        <f t="shared" ref="B22:AE22" si="8">IF(B10&gt;=100000,"Executive",IF(B10&gt;=80000,"Senior",IF(B10&gt;=60000,"Mid-Level","Junior")))</f>
        <v>Mid-Level</v>
      </c>
      <c r="C22" s="42" t="str">
        <f t="shared" si="8"/>
        <v>Mid-Level</v>
      </c>
      <c r="D22" s="41" t="str">
        <f t="shared" si="8"/>
        <v>Mid-Level</v>
      </c>
      <c r="E22" s="42" t="str">
        <f t="shared" si="8"/>
        <v>Mid-Level</v>
      </c>
      <c r="F22" s="41" t="str">
        <f t="shared" si="8"/>
        <v>Junior</v>
      </c>
      <c r="G22" s="42" t="str">
        <f t="shared" si="8"/>
        <v>Senior</v>
      </c>
      <c r="H22" s="41" t="str">
        <f t="shared" si="8"/>
        <v>Senior</v>
      </c>
      <c r="I22" s="42" t="str">
        <f t="shared" si="8"/>
        <v>Junior</v>
      </c>
      <c r="J22" s="41" t="str">
        <f t="shared" si="8"/>
        <v>Senior</v>
      </c>
      <c r="K22" s="42" t="str">
        <f t="shared" si="8"/>
        <v>Junior</v>
      </c>
      <c r="L22" s="41" t="str">
        <f t="shared" si="8"/>
        <v>Mid-Level</v>
      </c>
      <c r="M22" s="42" t="str">
        <f t="shared" si="8"/>
        <v>Junior</v>
      </c>
      <c r="N22" s="41" t="str">
        <f t="shared" si="8"/>
        <v>Mid-Level</v>
      </c>
      <c r="O22" s="42" t="str">
        <f t="shared" si="8"/>
        <v>Junior</v>
      </c>
      <c r="P22" s="41" t="str">
        <f t="shared" si="8"/>
        <v>Senior</v>
      </c>
      <c r="Q22" s="42" t="str">
        <f t="shared" si="8"/>
        <v>Mid-Level</v>
      </c>
      <c r="R22" s="41" t="str">
        <f t="shared" si="8"/>
        <v>Executive</v>
      </c>
      <c r="S22" s="42" t="str">
        <f t="shared" si="8"/>
        <v>Junior</v>
      </c>
      <c r="T22" s="41" t="str">
        <f t="shared" si="8"/>
        <v>Executive</v>
      </c>
      <c r="U22" s="42" t="str">
        <f t="shared" si="8"/>
        <v>Mid-Level</v>
      </c>
      <c r="V22" s="41" t="str">
        <f t="shared" si="8"/>
        <v>Junior</v>
      </c>
      <c r="W22" s="42" t="str">
        <f t="shared" si="8"/>
        <v>Executive</v>
      </c>
      <c r="X22" s="41" t="str">
        <f t="shared" si="8"/>
        <v>Senior</v>
      </c>
      <c r="Y22" s="42" t="str">
        <f t="shared" si="8"/>
        <v>Mid-Level</v>
      </c>
      <c r="Z22" s="41" t="str">
        <f t="shared" si="8"/>
        <v>Mid-Level</v>
      </c>
      <c r="AA22" s="42" t="str">
        <f t="shared" si="8"/>
        <v>Senior</v>
      </c>
      <c r="AB22" s="41" t="str">
        <f t="shared" si="8"/>
        <v>Junior</v>
      </c>
      <c r="AC22" s="42" t="str">
        <f t="shared" si="8"/>
        <v>Mid-Level</v>
      </c>
      <c r="AD22" s="41" t="str">
        <f t="shared" si="8"/>
        <v>Senior</v>
      </c>
      <c r="AE22" s="42" t="str">
        <f t="shared" si="8"/>
        <v>Senior</v>
      </c>
    </row>
    <row r="26" spans="1:31" x14ac:dyDescent="0.25">
      <c r="C26" t="s">
        <v>308</v>
      </c>
      <c r="D26" t="s">
        <v>53</v>
      </c>
    </row>
    <row r="27" spans="1:31" x14ac:dyDescent="0.25">
      <c r="C27" t="s">
        <v>307</v>
      </c>
      <c r="D27" t="str">
        <f>HLOOKUP(D26,A1:AF22,2,)</f>
        <v>Vikram Singh</v>
      </c>
    </row>
    <row r="28" spans="1:31" x14ac:dyDescent="0.25">
      <c r="C28" t="s">
        <v>5</v>
      </c>
      <c r="D28" t="str">
        <f>HLOOKUP(D26,A1:AF22,5,)</f>
        <v>Male</v>
      </c>
    </row>
    <row r="29" spans="1:31" x14ac:dyDescent="0.25">
      <c r="C29" t="s">
        <v>6</v>
      </c>
      <c r="D29">
        <f>HLOOKUP(D26,A1:AF22,6,)</f>
        <v>30</v>
      </c>
    </row>
  </sheetData>
  <dataValidations count="1">
    <dataValidation type="list" allowBlank="1" showInputMessage="1" showErrorMessage="1" sqref="D26" xr:uid="{84A7B9CA-BD54-428E-8857-7E61E66F0B84}">
      <formula1>$A$1:$AE$1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38"/>
  <sheetViews>
    <sheetView showGridLines="0" workbookViewId="0"/>
  </sheetViews>
  <sheetFormatPr defaultRowHeight="15" x14ac:dyDescent="0.25"/>
  <cols>
    <col min="1" max="1" width="5" customWidth="1"/>
    <col min="2" max="2" width="32" customWidth="1"/>
    <col min="3" max="3" width="40" customWidth="1"/>
    <col min="4" max="4" width="20" customWidth="1"/>
  </cols>
  <sheetData>
    <row r="1" spans="2:4" ht="39.950000000000003" customHeight="1" x14ac:dyDescent="0.25">
      <c r="B1" s="54" t="s">
        <v>207</v>
      </c>
      <c r="C1" s="51"/>
      <c r="D1" s="51"/>
    </row>
    <row r="3" spans="2:4" ht="21.95" customHeight="1" x14ac:dyDescent="0.25">
      <c r="B3" s="52" t="s">
        <v>208</v>
      </c>
      <c r="C3" s="51"/>
      <c r="D3" s="51"/>
    </row>
    <row r="4" spans="2:4" ht="20.100000000000001" customHeight="1" x14ac:dyDescent="0.25">
      <c r="B4" s="10" t="s">
        <v>209</v>
      </c>
      <c r="C4" s="11">
        <f>SUMIF('Employee Database'!E:E,"IT",'Employee Database'!M:M)</f>
        <v>800000</v>
      </c>
      <c r="D4" s="12">
        <f>SUMIF('Employee Database'!E:E,"IT",'Employee Database'!M:M)</f>
        <v>800000</v>
      </c>
    </row>
    <row r="5" spans="2:4" ht="20.100000000000001" customHeight="1" x14ac:dyDescent="0.25">
      <c r="B5" s="13" t="s">
        <v>210</v>
      </c>
      <c r="C5" s="14">
        <f>SUMIF('Employee Database'!E:E,"HR",'Employee Database'!M:M)</f>
        <v>294000</v>
      </c>
      <c r="D5" s="15">
        <f>SUMIF('Employee Database'!E:E,"HR",'Employee Database'!M:M)</f>
        <v>294000</v>
      </c>
    </row>
    <row r="6" spans="2:4" ht="20.100000000000001" customHeight="1" x14ac:dyDescent="0.25">
      <c r="B6" s="10" t="s">
        <v>211</v>
      </c>
      <c r="C6" s="11">
        <f>SUMIF('Employee Database'!E:E,"Finance",'Employee Database'!M:M)</f>
        <v>477000</v>
      </c>
      <c r="D6" s="12">
        <f>SUMIF('Employee Database'!E:E,"Finance",'Employee Database'!M:M)</f>
        <v>477000</v>
      </c>
    </row>
    <row r="7" spans="2:4" ht="20.100000000000001" customHeight="1" x14ac:dyDescent="0.25">
      <c r="B7" s="13" t="s">
        <v>212</v>
      </c>
      <c r="C7" s="14">
        <f>SUMIF('Employee Database'!E:E,"Sales",'Employee Database'!M:M)</f>
        <v>328000</v>
      </c>
      <c r="D7" s="15">
        <f>SUMIF('Employee Database'!E:E,"Sales",'Employee Database'!M:M)</f>
        <v>328000</v>
      </c>
    </row>
    <row r="8" spans="2:4" ht="20.100000000000001" customHeight="1" x14ac:dyDescent="0.25">
      <c r="B8" s="10" t="s">
        <v>213</v>
      </c>
      <c r="C8" s="11">
        <f>SUMIF('Employee Database'!E:E,"Marketing",'Employee Database'!M:M)</f>
        <v>339000</v>
      </c>
      <c r="D8" s="12">
        <f>SUMIF('Employee Database'!E:E,"Marketing",'Employee Database'!M:M)</f>
        <v>339000</v>
      </c>
    </row>
    <row r="10" spans="2:4" ht="21.95" customHeight="1" x14ac:dyDescent="0.25">
      <c r="B10" s="52" t="s">
        <v>214</v>
      </c>
      <c r="C10" s="51"/>
      <c r="D10" s="51"/>
    </row>
    <row r="11" spans="2:4" ht="20.100000000000001" customHeight="1" x14ac:dyDescent="0.25">
      <c r="B11" s="10" t="s">
        <v>215</v>
      </c>
      <c r="C11" s="11">
        <f>SUMIF('Employee Database'!E:E,"IT",'Employee Database'!R:R)</f>
        <v>1152000</v>
      </c>
      <c r="D11" s="12">
        <f>SUMIF('Employee Database'!E:E,"IT",'Employee Database'!R:R)</f>
        <v>1152000</v>
      </c>
    </row>
    <row r="12" spans="2:4" ht="20.100000000000001" customHeight="1" x14ac:dyDescent="0.25">
      <c r="B12" s="13" t="s">
        <v>216</v>
      </c>
      <c r="C12" s="14">
        <f>SUMIF('Employee Database'!E:E,"HR",'Employee Database'!R:R)</f>
        <v>423360</v>
      </c>
      <c r="D12" s="15">
        <f>SUMIF('Employee Database'!E:E,"HR",'Employee Database'!R:R)</f>
        <v>423360</v>
      </c>
    </row>
    <row r="13" spans="2:4" ht="20.100000000000001" customHeight="1" x14ac:dyDescent="0.25">
      <c r="B13" s="10" t="s">
        <v>217</v>
      </c>
      <c r="C13" s="11">
        <f>SUMIF('Employee Database'!E:E,"Finance",'Employee Database'!R:R)</f>
        <v>686880</v>
      </c>
      <c r="D13" s="12">
        <f>SUMIF('Employee Database'!E:E,"Finance",'Employee Database'!R:R)</f>
        <v>686880</v>
      </c>
    </row>
    <row r="14" spans="2:4" ht="20.100000000000001" customHeight="1" x14ac:dyDescent="0.25">
      <c r="B14" s="13" t="s">
        <v>218</v>
      </c>
      <c r="C14" s="14">
        <f>SUMIF('Employee Database'!E:E,"Sales",'Employee Database'!R:R)</f>
        <v>472320</v>
      </c>
      <c r="D14" s="15">
        <f>SUMIF('Employee Database'!E:E,"Sales",'Employee Database'!R:R)</f>
        <v>472320</v>
      </c>
    </row>
    <row r="15" spans="2:4" ht="20.100000000000001" customHeight="1" x14ac:dyDescent="0.25">
      <c r="B15" s="10" t="s">
        <v>219</v>
      </c>
      <c r="C15" s="11">
        <f>SUMIF('Employee Database'!E:E,"Marketing",'Employee Database'!R:R)</f>
        <v>488160</v>
      </c>
      <c r="D15" s="12">
        <f>SUMIF('Employee Database'!E:E,"Marketing",'Employee Database'!R:R)</f>
        <v>488160</v>
      </c>
    </row>
    <row r="17" spans="2:4" ht="21.95" customHeight="1" x14ac:dyDescent="0.25">
      <c r="B17" s="55" t="s">
        <v>220</v>
      </c>
      <c r="C17" s="51"/>
      <c r="D17" s="51"/>
    </row>
    <row r="18" spans="2:4" ht="20.100000000000001" customHeight="1" x14ac:dyDescent="0.25">
      <c r="B18" s="10" t="s">
        <v>221</v>
      </c>
      <c r="C18" s="11">
        <f>AVERAGEIF('Employee Database'!E:E,"IT",'Employee Database'!M:M)</f>
        <v>80000</v>
      </c>
      <c r="D18" s="12">
        <f>AVERAGEIF('Employee Database'!E:E,"IT",'Employee Database'!M:M)</f>
        <v>80000</v>
      </c>
    </row>
    <row r="19" spans="2:4" ht="20.100000000000001" customHeight="1" x14ac:dyDescent="0.25">
      <c r="B19" s="13" t="s">
        <v>222</v>
      </c>
      <c r="C19" s="14">
        <f>AVERAGEIF('Employee Database'!E:E,"HR",'Employee Database'!M:M)</f>
        <v>73500</v>
      </c>
      <c r="D19" s="15">
        <f>AVERAGEIF('Employee Database'!E:E,"HR",'Employee Database'!M:M)</f>
        <v>73500</v>
      </c>
    </row>
    <row r="20" spans="2:4" ht="20.100000000000001" customHeight="1" x14ac:dyDescent="0.25">
      <c r="B20" s="10" t="s">
        <v>223</v>
      </c>
      <c r="C20" s="11">
        <f>AVERAGEIF('Employee Database'!E:E,"Finance",'Employee Database'!M:M)</f>
        <v>79500</v>
      </c>
      <c r="D20" s="12">
        <f>AVERAGEIF('Employee Database'!E:E,"Finance",'Employee Database'!M:M)</f>
        <v>79500</v>
      </c>
    </row>
    <row r="21" spans="2:4" ht="20.100000000000001" customHeight="1" x14ac:dyDescent="0.25">
      <c r="B21" s="13" t="s">
        <v>224</v>
      </c>
      <c r="C21" s="14">
        <f>AVERAGEIF('Employee Database'!E:E,"Sales",'Employee Database'!M:M)</f>
        <v>65600</v>
      </c>
      <c r="D21" s="15">
        <f>AVERAGEIF('Employee Database'!E:E,"Sales",'Employee Database'!M:M)</f>
        <v>65600</v>
      </c>
    </row>
    <row r="22" spans="2:4" ht="20.100000000000001" customHeight="1" x14ac:dyDescent="0.25">
      <c r="B22" s="10" t="s">
        <v>225</v>
      </c>
      <c r="C22" s="11">
        <f>AVERAGEIF('Employee Database'!E:E,"Marketing",'Employee Database'!M:M)</f>
        <v>67800</v>
      </c>
      <c r="D22" s="12">
        <f>AVERAGEIF('Employee Database'!E:E,"Marketing",'Employee Database'!M:M)</f>
        <v>67800</v>
      </c>
    </row>
    <row r="24" spans="2:4" ht="21.95" customHeight="1" x14ac:dyDescent="0.25">
      <c r="B24" s="55" t="s">
        <v>226</v>
      </c>
      <c r="C24" s="51"/>
      <c r="D24" s="51"/>
    </row>
    <row r="25" spans="2:4" ht="20.100000000000001" customHeight="1" x14ac:dyDescent="0.25">
      <c r="B25" s="10" t="s">
        <v>227</v>
      </c>
      <c r="C25" s="11">
        <f>AVERAGEIF('Employee Database'!H:H,"Male",'Employee Database'!T:T)</f>
        <v>4.2</v>
      </c>
      <c r="D25" s="16">
        <f>AVERAGEIF('Employee Database'!H:H,"Male",'Employee Database'!T:T)</f>
        <v>4.2</v>
      </c>
    </row>
    <row r="26" spans="2:4" ht="20.100000000000001" customHeight="1" x14ac:dyDescent="0.25">
      <c r="B26" s="13" t="s">
        <v>228</v>
      </c>
      <c r="C26" s="14">
        <f>AVERAGEIF('Employee Database'!H:H,"Female",'Employee Database'!T:T)</f>
        <v>3.6666666666666665</v>
      </c>
      <c r="D26" s="17">
        <f>AVERAGEIF('Employee Database'!H:H,"Female",'Employee Database'!T:T)</f>
        <v>3.6666666666666665</v>
      </c>
    </row>
    <row r="28" spans="2:4" ht="21.95" customHeight="1" x14ac:dyDescent="0.25">
      <c r="B28" s="53" t="s">
        <v>229</v>
      </c>
      <c r="C28" s="51"/>
      <c r="D28" s="51"/>
    </row>
    <row r="29" spans="2:4" ht="20.100000000000001" customHeight="1" x14ac:dyDescent="0.25">
      <c r="B29" s="10" t="s">
        <v>230</v>
      </c>
      <c r="C29" s="11">
        <f>COUNTIF('Employee Database'!E:E,"IT")</f>
        <v>10</v>
      </c>
      <c r="D29" s="18">
        <f>COUNTIF('Employee Database'!E:E,"IT")</f>
        <v>10</v>
      </c>
    </row>
    <row r="30" spans="2:4" ht="20.100000000000001" customHeight="1" x14ac:dyDescent="0.25">
      <c r="B30" s="13" t="s">
        <v>231</v>
      </c>
      <c r="C30" s="14">
        <f>COUNTIF('Employee Database'!E:E,"HR")</f>
        <v>4</v>
      </c>
      <c r="D30" s="19">
        <f>COUNTIF('Employee Database'!E:E,"HR")</f>
        <v>4</v>
      </c>
    </row>
    <row r="31" spans="2:4" ht="20.100000000000001" customHeight="1" x14ac:dyDescent="0.25">
      <c r="B31" s="10" t="s">
        <v>232</v>
      </c>
      <c r="C31" s="11">
        <f>COUNTIF('Employee Database'!E:E,"Finance")</f>
        <v>6</v>
      </c>
      <c r="D31" s="18">
        <f>COUNTIF('Employee Database'!E:E,"Finance")</f>
        <v>6</v>
      </c>
    </row>
    <row r="32" spans="2:4" ht="20.100000000000001" customHeight="1" x14ac:dyDescent="0.25">
      <c r="B32" s="13" t="s">
        <v>233</v>
      </c>
      <c r="C32" s="14">
        <f>COUNTIF('Employee Database'!E:E,"Sales")</f>
        <v>5</v>
      </c>
      <c r="D32" s="19">
        <f>COUNTIF('Employee Database'!E:E,"Sales")</f>
        <v>5</v>
      </c>
    </row>
    <row r="33" spans="2:4" ht="20.100000000000001" customHeight="1" x14ac:dyDescent="0.25">
      <c r="B33" s="10" t="s">
        <v>234</v>
      </c>
      <c r="C33" s="11">
        <f>COUNTIF('Employee Database'!E:E,"Marketing")</f>
        <v>5</v>
      </c>
      <c r="D33" s="18">
        <f>COUNTIF('Employee Database'!E:E,"Marketing")</f>
        <v>5</v>
      </c>
    </row>
    <row r="34" spans="2:4" ht="20.100000000000001" customHeight="1" x14ac:dyDescent="0.25">
      <c r="B34" s="13" t="s">
        <v>235</v>
      </c>
      <c r="C34" s="14">
        <f>COUNTIF('Employee Database'!H:H,"Male")</f>
        <v>15</v>
      </c>
      <c r="D34" s="19">
        <f>COUNTIF('Employee Database'!H:H,"Male")</f>
        <v>15</v>
      </c>
    </row>
    <row r="35" spans="2:4" ht="20.100000000000001" customHeight="1" x14ac:dyDescent="0.25">
      <c r="B35" s="10" t="s">
        <v>236</v>
      </c>
      <c r="C35" s="11">
        <f>COUNTIF('Employee Database'!H:H,"Female")</f>
        <v>15</v>
      </c>
      <c r="D35" s="18">
        <f>COUNTIF('Employee Database'!H:H,"Female")</f>
        <v>15</v>
      </c>
    </row>
    <row r="36" spans="2:4" ht="20.100000000000001" customHeight="1" x14ac:dyDescent="0.25">
      <c r="B36" s="13" t="s">
        <v>237</v>
      </c>
      <c r="C36" s="14">
        <f>COUNTIF('Employee Database'!S:S,"Excellent")</f>
        <v>6</v>
      </c>
      <c r="D36" s="19">
        <f>COUNTIF('Employee Database'!S:S,"Excellent")</f>
        <v>6</v>
      </c>
    </row>
    <row r="37" spans="2:4" ht="20.100000000000001" customHeight="1" x14ac:dyDescent="0.25">
      <c r="B37" s="10" t="s">
        <v>238</v>
      </c>
      <c r="C37" s="11">
        <f>COUNTIF('Employee Database'!S:S,"Outstanding")</f>
        <v>8</v>
      </c>
      <c r="D37" s="18">
        <f>COUNTIF('Employee Database'!S:S,"Outstanding")</f>
        <v>8</v>
      </c>
    </row>
    <row r="38" spans="2:4" ht="20.100000000000001" customHeight="1" x14ac:dyDescent="0.25">
      <c r="B38" s="13" t="s">
        <v>239</v>
      </c>
      <c r="C38" s="14">
        <f>COUNTIF('Employee Database'!T:T,5)</f>
        <v>10</v>
      </c>
      <c r="D38" s="19">
        <f>COUNTIF('Employee Database'!T:T,5)</f>
        <v>10</v>
      </c>
    </row>
  </sheetData>
  <mergeCells count="6">
    <mergeCell ref="B10:D10"/>
    <mergeCell ref="B28:D28"/>
    <mergeCell ref="B3:D3"/>
    <mergeCell ref="B1:D1"/>
    <mergeCell ref="B17:D17"/>
    <mergeCell ref="B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E26"/>
  <sheetViews>
    <sheetView showGridLines="0" workbookViewId="0">
      <selection activeCell="E11" sqref="E11"/>
    </sheetView>
  </sheetViews>
  <sheetFormatPr defaultRowHeight="15" x14ac:dyDescent="0.25"/>
  <cols>
    <col min="1" max="1" width="4" customWidth="1"/>
    <col min="2" max="2" width="22" customWidth="1"/>
    <col min="3" max="3" width="26" customWidth="1"/>
    <col min="4" max="5" width="18" customWidth="1"/>
  </cols>
  <sheetData>
    <row r="1" spans="2:5" ht="39.950000000000003" customHeight="1" x14ac:dyDescent="0.25">
      <c r="B1" s="50" t="s">
        <v>240</v>
      </c>
      <c r="C1" s="51"/>
      <c r="D1" s="51"/>
      <c r="E1" s="51"/>
    </row>
    <row r="3" spans="2:5" ht="24" customHeight="1" x14ac:dyDescent="0.25">
      <c r="B3" s="57" t="s">
        <v>241</v>
      </c>
      <c r="C3" s="51"/>
      <c r="D3" s="20" t="s">
        <v>53</v>
      </c>
    </row>
    <row r="5" spans="2:5" ht="20.100000000000001" customHeight="1" x14ac:dyDescent="0.25">
      <c r="B5" s="10" t="s">
        <v>2</v>
      </c>
      <c r="C5" s="21" t="str">
        <f>IFERROR(VLOOKUP($D$3,'Employee Database'!$A:$Y,2,0),"❌ Not Found")</f>
        <v>Vikram Singh</v>
      </c>
    </row>
    <row r="6" spans="2:5" ht="20.100000000000001" customHeight="1" x14ac:dyDescent="0.25">
      <c r="B6" s="13" t="s">
        <v>3</v>
      </c>
      <c r="C6" s="22" t="str">
        <f>IFERROR(VLOOKUP($D$3,'Employee Database'!$A:$Y,3,0),"❌ Not Found")</f>
        <v>Vikram</v>
      </c>
    </row>
    <row r="7" spans="2:5" ht="20.100000000000001" customHeight="1" x14ac:dyDescent="0.25">
      <c r="B7" s="10" t="s">
        <v>4</v>
      </c>
      <c r="C7" s="21" t="str">
        <f>IFERROR(VLOOKUP($D$3,'Employee Database'!$A:$Y,4,0),"❌ Not Found")</f>
        <v>vingh</v>
      </c>
    </row>
    <row r="8" spans="2:5" ht="20.100000000000001" customHeight="1" x14ac:dyDescent="0.25">
      <c r="B8" s="13" t="s">
        <v>5</v>
      </c>
      <c r="C8" s="22" t="str">
        <f>IFERROR(VLOOKUP($D$3,'Employee Database'!$A:$Y,5,0),"❌ Not Found")</f>
        <v>Sales</v>
      </c>
    </row>
    <row r="9" spans="2:5" ht="20.100000000000001" customHeight="1" x14ac:dyDescent="0.25">
      <c r="B9" s="10" t="s">
        <v>6</v>
      </c>
      <c r="C9" s="21" t="str">
        <f>IFERROR(VLOOKUP($D$3,'Employee Database'!$A:$Y,6,0),"❌ Not Found")</f>
        <v>sales executive</v>
      </c>
    </row>
    <row r="10" spans="2:5" ht="20.100000000000001" customHeight="1" x14ac:dyDescent="0.25">
      <c r="B10" s="13" t="s">
        <v>242</v>
      </c>
      <c r="C10" s="22" t="str">
        <f>IFERROR(VLOOKUP($D$3,'Employee Database'!$A:$Y,7,0),"❌ Not Found")</f>
        <v>Sales Executive</v>
      </c>
    </row>
    <row r="11" spans="2:5" ht="20.100000000000001" customHeight="1" x14ac:dyDescent="0.25">
      <c r="B11" s="10" t="s">
        <v>243</v>
      </c>
      <c r="C11" s="21" t="str">
        <f>IFERROR(VLOOKUP($D$3,'Employee Database'!$A:$Y,8,0),"❌ Not Found")</f>
        <v>Male</v>
      </c>
    </row>
    <row r="12" spans="2:5" ht="20.100000000000001" customHeight="1" x14ac:dyDescent="0.25">
      <c r="B12" s="13" t="s">
        <v>9</v>
      </c>
      <c r="C12" s="22">
        <f>IFERROR(VLOOKUP($D$3,'Employee Database'!$A:$Y,9,0),"❌ Not Found")</f>
        <v>30</v>
      </c>
    </row>
    <row r="13" spans="2:5" ht="20.100000000000001" customHeight="1" x14ac:dyDescent="0.25">
      <c r="B13" s="10" t="s">
        <v>10</v>
      </c>
      <c r="C13" s="23" t="str">
        <f>IFERROR(VLOOKUP($D$3,'Employee Database'!$A:$Y,10,0),"❌ Not Found")</f>
        <v>2020-07-05</v>
      </c>
    </row>
    <row r="14" spans="2:5" ht="20.100000000000001" customHeight="1" x14ac:dyDescent="0.25">
      <c r="B14" s="13" t="s">
        <v>11</v>
      </c>
      <c r="C14" s="24">
        <f ca="1">IFERROR(VLOOKUP($D$3,'Employee Database'!$A:$Y,11,0),"❌ Not Found")</f>
        <v>5</v>
      </c>
    </row>
    <row r="15" spans="2:5" ht="20.100000000000001" customHeight="1" x14ac:dyDescent="0.25">
      <c r="B15" s="10" t="s">
        <v>12</v>
      </c>
      <c r="C15" s="23" t="str">
        <f>IFERROR(VLOOKUP($D$3,'Employee Database'!$A:$Y,12,0),"❌ Not Found")</f>
        <v>Jaipur</v>
      </c>
    </row>
    <row r="16" spans="2:5" ht="20.100000000000001" customHeight="1" x14ac:dyDescent="0.25">
      <c r="B16" s="13" t="s">
        <v>13</v>
      </c>
      <c r="C16" s="24">
        <f>IFERROR(VLOOKUP($D$3,'Employee Database'!$A:$Y,13,0),"❌ Not Found")</f>
        <v>45000</v>
      </c>
    </row>
    <row r="17" spans="2:5" ht="20.100000000000001" customHeight="1" x14ac:dyDescent="0.25">
      <c r="B17" s="10" t="s">
        <v>14</v>
      </c>
      <c r="C17" s="23">
        <f>IFERROR(VLOOKUP($D$3,'Employee Database'!$A:$Y,14,0),"❌ Not Found")</f>
        <v>18000</v>
      </c>
    </row>
    <row r="18" spans="2:5" ht="20.100000000000001" customHeight="1" x14ac:dyDescent="0.25">
      <c r="B18" s="13" t="s">
        <v>15</v>
      </c>
      <c r="C18" s="24">
        <f>IFERROR(VLOOKUP($D$3,'Employee Database'!$A:$Y,15,0),"❌ Not Found")</f>
        <v>9000</v>
      </c>
    </row>
    <row r="19" spans="2:5" ht="20.100000000000001" customHeight="1" x14ac:dyDescent="0.25">
      <c r="B19" s="10" t="s">
        <v>16</v>
      </c>
      <c r="C19" s="21">
        <f>IFERROR(VLOOKUP($D$3,'Employee Database'!$A:$Y,16,0),"❌ Not Found")</f>
        <v>72000</v>
      </c>
    </row>
    <row r="20" spans="2:5" ht="20.100000000000001" customHeight="1" x14ac:dyDescent="0.25">
      <c r="B20" s="13" t="s">
        <v>244</v>
      </c>
      <c r="C20" s="22">
        <f>IFERROR(VLOOKUP($D$3,'Employee Database'!$A:$Y,17,0),"❌ Not Found")</f>
        <v>7200</v>
      </c>
    </row>
    <row r="21" spans="2:5" ht="20.100000000000001" customHeight="1" x14ac:dyDescent="0.25">
      <c r="B21" s="10" t="s">
        <v>245</v>
      </c>
      <c r="C21" s="23">
        <f>IFERROR(VLOOKUP($D$3,'Employee Database'!$A:$Y,18,0),"❌ Not Found")</f>
        <v>64800</v>
      </c>
    </row>
    <row r="22" spans="2:5" ht="20.100000000000001" customHeight="1" x14ac:dyDescent="0.25">
      <c r="B22" s="13" t="s">
        <v>19</v>
      </c>
      <c r="C22" s="22" t="str">
        <f>IFERROR(VLOOKUP($D$3,'Employee Database'!$A:$Y,19,0),"❌ Not Found")</f>
        <v>Average</v>
      </c>
    </row>
    <row r="23" spans="2:5" ht="20.100000000000001" customHeight="1" x14ac:dyDescent="0.25">
      <c r="B23" s="10" t="s">
        <v>20</v>
      </c>
      <c r="C23" s="21">
        <f>IFERROR(VLOOKUP($D$3,'Employee Database'!$A:$Y,20,0),"❌ Not Found")</f>
        <v>3</v>
      </c>
    </row>
    <row r="24" spans="2:5" ht="20.100000000000001" customHeight="1" x14ac:dyDescent="0.25">
      <c r="B24" s="13" t="s">
        <v>22</v>
      </c>
      <c r="C24" s="22" t="str">
        <f>IFERROR(VLOOKUP($D$3,'Employee Database'!$A:$Y,22,0),"❌ Not Found")</f>
        <v>vikram.singh@company.com</v>
      </c>
    </row>
    <row r="26" spans="2:5" ht="27.95" customHeight="1" x14ac:dyDescent="0.25">
      <c r="B26" s="56" t="s">
        <v>246</v>
      </c>
      <c r="C26" s="51"/>
      <c r="D26" s="51"/>
      <c r="E26" s="51"/>
    </row>
  </sheetData>
  <mergeCells count="3">
    <mergeCell ref="B26:E26"/>
    <mergeCell ref="B3:C3"/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22"/>
  <sheetViews>
    <sheetView showGridLines="0" workbookViewId="0">
      <selection activeCell="C6" sqref="C6"/>
    </sheetView>
  </sheetViews>
  <sheetFormatPr defaultRowHeight="15" x14ac:dyDescent="0.25"/>
  <cols>
    <col min="1" max="1" width="4" customWidth="1"/>
    <col min="2" max="2" width="30" customWidth="1"/>
    <col min="3" max="3" width="44" customWidth="1"/>
    <col min="4" max="4" width="22" customWidth="1"/>
    <col min="5" max="5" width="4" customWidth="1"/>
  </cols>
  <sheetData>
    <row r="1" spans="2:4" ht="39.950000000000003" customHeight="1" x14ac:dyDescent="0.25">
      <c r="B1" s="50" t="s">
        <v>247</v>
      </c>
      <c r="C1" s="51"/>
      <c r="D1" s="51"/>
    </row>
    <row r="2" spans="2:4" ht="24" customHeight="1" x14ac:dyDescent="0.25">
      <c r="B2" s="1" t="s">
        <v>248</v>
      </c>
      <c r="C2" s="1" t="s">
        <v>249</v>
      </c>
      <c r="D2" s="1" t="s">
        <v>250</v>
      </c>
    </row>
    <row r="3" spans="2:4" ht="20.100000000000001" customHeight="1" x14ac:dyDescent="0.25">
      <c r="B3" s="10" t="s">
        <v>251</v>
      </c>
      <c r="C3" s="25" t="str">
        <f>UPPER("Aarav Sharma")</f>
        <v>AARAV SHARMA</v>
      </c>
      <c r="D3" s="26" t="str">
        <f>UPPER("Aarav Sharma")</f>
        <v>AARAV SHARMA</v>
      </c>
    </row>
    <row r="4" spans="2:4" ht="20.100000000000001" customHeight="1" x14ac:dyDescent="0.25">
      <c r="B4" s="13" t="s">
        <v>252</v>
      </c>
      <c r="C4" s="27" t="str">
        <f>LOWER("AARAV.SHARMA@COMPANY.COM")</f>
        <v>aarav.sharma@company.com</v>
      </c>
      <c r="D4" s="28" t="str">
        <f>LOWER("AARAV.SHARMA@COMPANY.COM")</f>
        <v>aarav.sharma@company.com</v>
      </c>
    </row>
    <row r="5" spans="2:4" ht="20.100000000000001" customHeight="1" x14ac:dyDescent="0.25">
      <c r="B5" s="10" t="s">
        <v>253</v>
      </c>
      <c r="C5" s="25" t="str">
        <f>PROPER("information technology")</f>
        <v>Information Technology</v>
      </c>
      <c r="D5" s="26" t="str">
        <f>PROPER("information technology")</f>
        <v>Information Technology</v>
      </c>
    </row>
    <row r="6" spans="2:4" ht="20.100000000000001" customHeight="1" x14ac:dyDescent="0.25">
      <c r="B6" s="13" t="s">
        <v>254</v>
      </c>
      <c r="C6" s="27">
        <f>LEN("Priya Patel")</f>
        <v>11</v>
      </c>
      <c r="D6" s="28">
        <f>LEN("Priya Patel")</f>
        <v>11</v>
      </c>
    </row>
    <row r="7" spans="2:4" ht="20.100000000000001" customHeight="1" x14ac:dyDescent="0.25">
      <c r="B7" s="10" t="s">
        <v>255</v>
      </c>
      <c r="C7" s="25" t="str">
        <f>LEFT("Rohit Mehta",5)</f>
        <v>Rohit</v>
      </c>
      <c r="D7" s="26" t="str">
        <f>LEFT("Rohit Mehta",5)</f>
        <v>Rohit</v>
      </c>
    </row>
    <row r="8" spans="2:4" ht="20.100000000000001" customHeight="1" x14ac:dyDescent="0.25">
      <c r="B8" s="13" t="s">
        <v>256</v>
      </c>
      <c r="C8" s="27" t="str">
        <f>RIGHT("Sneha Reddy",5)</f>
        <v>Reddy</v>
      </c>
      <c r="D8" s="28" t="str">
        <f>RIGHT("Sneha Reddy",5)</f>
        <v>Reddy</v>
      </c>
    </row>
    <row r="9" spans="2:4" ht="20.100000000000001" customHeight="1" x14ac:dyDescent="0.25">
      <c r="B9" s="10" t="s">
        <v>257</v>
      </c>
      <c r="C9" s="25" t="str">
        <f>MID("Vikram Singh",8,5)</f>
        <v>Singh</v>
      </c>
      <c r="D9" s="26" t="str">
        <f>MID("Vikram Singh",8,5)</f>
        <v>Singh</v>
      </c>
    </row>
    <row r="10" spans="2:4" ht="20.100000000000001" customHeight="1" x14ac:dyDescent="0.25">
      <c r="B10" s="13" t="s">
        <v>258</v>
      </c>
      <c r="C10" s="27">
        <f>FIND(" ","Kavya Nair")</f>
        <v>6</v>
      </c>
      <c r="D10" s="28">
        <f>FIND(" ","Kavya Nair")</f>
        <v>6</v>
      </c>
    </row>
    <row r="11" spans="2:4" ht="20.100000000000001" customHeight="1" x14ac:dyDescent="0.25">
      <c r="B11" s="10" t="s">
        <v>259</v>
      </c>
      <c r="C11" s="25" t="str">
        <f>TRIM("  Arjun  Kumar  ")</f>
        <v>Arjun Kumar</v>
      </c>
      <c r="D11" s="26" t="str">
        <f>TRIM("  Arjun  Kumar  ")</f>
        <v>Arjun Kumar</v>
      </c>
    </row>
    <row r="12" spans="2:4" ht="20.100000000000001" customHeight="1" x14ac:dyDescent="0.25">
      <c r="B12" s="13" t="s">
        <v>260</v>
      </c>
      <c r="C12" s="27" t="e">
        <f ca="1">_xludf.CONCAT("divya.verma@","company.com")</f>
        <v>#NAME?</v>
      </c>
      <c r="D12" s="28" t="e">
        <f ca="1">_xludf.CONCAT("divya.verma@","company.com")</f>
        <v>#NAME?</v>
      </c>
    </row>
    <row r="13" spans="2:4" ht="20.100000000000001" customHeight="1" x14ac:dyDescent="0.25">
      <c r="B13" s="10" t="s">
        <v>261</v>
      </c>
      <c r="C13" s="25" t="str">
        <f ca="1">TEXT(TODAY(),"DD-MMM-YYYY")</f>
        <v>28-Apr-2026</v>
      </c>
      <c r="D13" s="26" t="str">
        <f ca="1">TEXT(TODAY(),"DD-MMM-YYYY")</f>
        <v>28-Apr-2026</v>
      </c>
    </row>
    <row r="14" spans="2:4" ht="20.100000000000001" customHeight="1" x14ac:dyDescent="0.25">
      <c r="B14" s="13" t="s">
        <v>262</v>
      </c>
      <c r="C14" s="27" t="str">
        <f>TEXT(90000,"₹#,##0")</f>
        <v>₹90,000</v>
      </c>
      <c r="D14" s="28" t="str">
        <f>TEXT(90000,"₹#,##0")</f>
        <v>₹90,000</v>
      </c>
    </row>
    <row r="15" spans="2:4" ht="20.100000000000001" customHeight="1" x14ac:dyDescent="0.25">
      <c r="B15" s="10" t="s">
        <v>263</v>
      </c>
      <c r="C15" s="25" t="str">
        <f>SUBSTITUTE("IT Department","IT","Tech")</f>
        <v>Tech Department</v>
      </c>
      <c r="D15" s="26" t="str">
        <f>SUBSTITUTE("IT Department","IT","Tech")</f>
        <v>Tech Department</v>
      </c>
    </row>
    <row r="16" spans="2:4" ht="20.100000000000001" customHeight="1" x14ac:dyDescent="0.25">
      <c r="B16" s="13" t="s">
        <v>264</v>
      </c>
      <c r="C16" s="27" t="str">
        <f>REPT("★",4)</f>
        <v>★★★★</v>
      </c>
      <c r="D16" s="28" t="str">
        <f>REPT("★",4)</f>
        <v>★★★★</v>
      </c>
    </row>
    <row r="17" spans="2:4" ht="20.100000000000001" customHeight="1" x14ac:dyDescent="0.25">
      <c r="B17" s="10" t="s">
        <v>265</v>
      </c>
      <c r="C17" s="25">
        <f>VALUE("75000")</f>
        <v>75000</v>
      </c>
      <c r="D17" s="26">
        <f>VALUE("75000")</f>
        <v>75000</v>
      </c>
    </row>
    <row r="18" spans="2:4" ht="20.100000000000001" customHeight="1" x14ac:dyDescent="0.25">
      <c r="B18" s="13" t="s">
        <v>266</v>
      </c>
      <c r="C18" s="27">
        <f ca="1">TODAY()</f>
        <v>46140</v>
      </c>
      <c r="D18" s="28">
        <f ca="1">TODAY()</f>
        <v>46140</v>
      </c>
    </row>
    <row r="19" spans="2:4" ht="20.100000000000001" customHeight="1" x14ac:dyDescent="0.25">
      <c r="B19" s="10" t="s">
        <v>267</v>
      </c>
      <c r="C19" s="25">
        <f ca="1">YEAR(TODAY())</f>
        <v>2026</v>
      </c>
      <c r="D19" s="26">
        <f ca="1">YEAR(TODAY())</f>
        <v>2026</v>
      </c>
    </row>
    <row r="20" spans="2:4" ht="20.100000000000001" customHeight="1" x14ac:dyDescent="0.25">
      <c r="B20" s="13" t="s">
        <v>268</v>
      </c>
      <c r="C20" s="27">
        <f ca="1">MONTH(TODAY())</f>
        <v>4</v>
      </c>
      <c r="D20" s="28">
        <f ca="1">MONTH(TODAY())</f>
        <v>4</v>
      </c>
    </row>
    <row r="21" spans="2:4" ht="20.100000000000001" customHeight="1" x14ac:dyDescent="0.25">
      <c r="B21" s="10" t="s">
        <v>269</v>
      </c>
      <c r="C21" s="25">
        <f ca="1">DAY(TODAY())</f>
        <v>28</v>
      </c>
      <c r="D21" s="26">
        <f ca="1">DAY(TODAY())</f>
        <v>28</v>
      </c>
    </row>
    <row r="22" spans="2:4" ht="20.100000000000001" customHeight="1" x14ac:dyDescent="0.25">
      <c r="B22" s="13" t="s">
        <v>270</v>
      </c>
      <c r="C22" s="27">
        <f ca="1">DATEDIF(DATE(2019,3,15),TODAY(),"Y")</f>
        <v>7</v>
      </c>
      <c r="D22" s="28">
        <f ca="1">DATEDIF(DATE(2019,3,15),TODAY(),"Y")</f>
        <v>7</v>
      </c>
    </row>
  </sheetData>
  <mergeCells count="1">
    <mergeCell ref="B1:D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30"/>
  <sheetViews>
    <sheetView showGridLines="0" workbookViewId="0"/>
  </sheetViews>
  <sheetFormatPr defaultRowHeight="15" x14ac:dyDescent="0.25"/>
  <cols>
    <col min="1" max="1" width="4" customWidth="1"/>
    <col min="2" max="2" width="28" customWidth="1"/>
    <col min="3" max="4" width="22" customWidth="1"/>
    <col min="5" max="5" width="4" customWidth="1"/>
  </cols>
  <sheetData>
    <row r="1" spans="2:4" ht="39.950000000000003" customHeight="1" x14ac:dyDescent="0.25">
      <c r="B1" s="50" t="s">
        <v>271</v>
      </c>
      <c r="C1" s="51"/>
      <c r="D1" s="51"/>
    </row>
    <row r="2" spans="2:4" ht="21.95" customHeight="1" x14ac:dyDescent="0.25">
      <c r="B2" s="58" t="s">
        <v>272</v>
      </c>
      <c r="C2" s="51"/>
      <c r="D2" s="51"/>
    </row>
    <row r="3" spans="2:4" ht="21.95" customHeight="1" x14ac:dyDescent="0.25">
      <c r="B3" s="59" t="s">
        <v>273</v>
      </c>
      <c r="C3" s="51"/>
      <c r="D3" s="51"/>
    </row>
    <row r="4" spans="2:4" ht="21.95" customHeight="1" x14ac:dyDescent="0.25">
      <c r="B4" s="10" t="s">
        <v>274</v>
      </c>
      <c r="C4" s="29">
        <f>SUM('Employee Database'!M3:M32)</f>
        <v>2238000</v>
      </c>
      <c r="D4" s="12">
        <f>SUM('Employee Database'!M3:M32)</f>
        <v>2238000</v>
      </c>
    </row>
    <row r="5" spans="2:4" ht="21.95" customHeight="1" x14ac:dyDescent="0.25">
      <c r="B5" s="13" t="s">
        <v>275</v>
      </c>
      <c r="C5" s="30">
        <f>AVERAGE('Employee Database'!M3:M32)</f>
        <v>74600</v>
      </c>
      <c r="D5" s="15">
        <f>AVERAGE('Employee Database'!M3:M32)</f>
        <v>74600</v>
      </c>
    </row>
    <row r="6" spans="2:4" ht="21.95" customHeight="1" x14ac:dyDescent="0.25">
      <c r="B6" s="10" t="s">
        <v>276</v>
      </c>
      <c r="C6" s="29">
        <f>MAX('Employee Database'!M3:M32)</f>
        <v>150000</v>
      </c>
      <c r="D6" s="12">
        <f>MAX('Employee Database'!M3:M32)</f>
        <v>150000</v>
      </c>
    </row>
    <row r="7" spans="2:4" ht="21.95" customHeight="1" x14ac:dyDescent="0.25">
      <c r="B7" s="13" t="s">
        <v>277</v>
      </c>
      <c r="C7" s="30">
        <f>MIN('Employee Database'!M3:M32)</f>
        <v>40000</v>
      </c>
      <c r="D7" s="15">
        <f>MIN('Employee Database'!M3:M32)</f>
        <v>40000</v>
      </c>
    </row>
    <row r="8" spans="2:4" ht="21.95" customHeight="1" x14ac:dyDescent="0.25">
      <c r="B8" s="10" t="s">
        <v>278</v>
      </c>
      <c r="C8" s="29">
        <f>SUM('Employee Database'!R3:R32)</f>
        <v>3222720</v>
      </c>
      <c r="D8" s="12">
        <f>SUM('Employee Database'!R3:R32)</f>
        <v>3222720</v>
      </c>
    </row>
    <row r="9" spans="2:4" ht="21.95" customHeight="1" x14ac:dyDescent="0.25">
      <c r="B9" s="13" t="s">
        <v>279</v>
      </c>
      <c r="C9" s="30">
        <f ca="1">AVERAGE('Employee Database'!K3:K32)</f>
        <v>6.7666666666666666</v>
      </c>
      <c r="D9" s="17">
        <f ca="1">AVERAGE('Employee Database'!K3:K32)</f>
        <v>6.7666666666666666</v>
      </c>
    </row>
    <row r="10" spans="2:4" ht="21.95" customHeight="1" x14ac:dyDescent="0.25">
      <c r="B10" s="10" t="s">
        <v>280</v>
      </c>
      <c r="C10" s="29">
        <f>AVERAGE('Employee Database'!T3:T32)</f>
        <v>3.9333333333333331</v>
      </c>
      <c r="D10" s="16">
        <f>AVERAGE('Employee Database'!T3:T32)</f>
        <v>3.9333333333333331</v>
      </c>
    </row>
    <row r="11" spans="2:4" ht="21.95" customHeight="1" x14ac:dyDescent="0.25">
      <c r="B11" s="58" t="s">
        <v>281</v>
      </c>
      <c r="C11" s="51"/>
      <c r="D11" s="51"/>
    </row>
    <row r="12" spans="2:4" ht="21.95" customHeight="1" x14ac:dyDescent="0.25">
      <c r="B12" s="10" t="s">
        <v>282</v>
      </c>
      <c r="C12" s="29">
        <f>AVERAGEIF('Employee Database'!E:E,"IT",'Employee Database'!M:M)</f>
        <v>80000</v>
      </c>
      <c r="D12" s="12">
        <f>AVERAGEIF('Employee Database'!E:E,"IT",'Employee Database'!M:M)</f>
        <v>80000</v>
      </c>
    </row>
    <row r="13" spans="2:4" ht="21.95" customHeight="1" x14ac:dyDescent="0.25">
      <c r="B13" s="13" t="s">
        <v>283</v>
      </c>
      <c r="C13" s="30">
        <f>COUNTIF('Employee Database'!E:E,"HR")</f>
        <v>4</v>
      </c>
      <c r="D13" s="28">
        <f>COUNTIF('Employee Database'!E:E,"HR")</f>
        <v>4</v>
      </c>
    </row>
    <row r="14" spans="2:4" ht="21.95" customHeight="1" x14ac:dyDescent="0.25">
      <c r="B14" s="10" t="s">
        <v>284</v>
      </c>
      <c r="C14" s="29">
        <f>AVERAGEIF('Employee Database'!E:E,"HR",'Employee Database'!M:M)</f>
        <v>73500</v>
      </c>
      <c r="D14" s="12">
        <f>AVERAGEIF('Employee Database'!E:E,"HR",'Employee Database'!M:M)</f>
        <v>73500</v>
      </c>
    </row>
    <row r="15" spans="2:4" ht="21.95" customHeight="1" x14ac:dyDescent="0.25">
      <c r="B15" s="13" t="s">
        <v>285</v>
      </c>
      <c r="C15" s="30">
        <f>COUNTIF('Employee Database'!E:E,"Finance")</f>
        <v>6</v>
      </c>
      <c r="D15" s="28">
        <f>COUNTIF('Employee Database'!E:E,"Finance")</f>
        <v>6</v>
      </c>
    </row>
    <row r="16" spans="2:4" ht="21.95" customHeight="1" x14ac:dyDescent="0.25">
      <c r="B16" s="10" t="s">
        <v>286</v>
      </c>
      <c r="C16" s="29">
        <f>AVERAGEIF('Employee Database'!E:E,"Finance",'Employee Database'!M:M)</f>
        <v>79500</v>
      </c>
      <c r="D16" s="12">
        <f>AVERAGEIF('Employee Database'!E:E,"Finance",'Employee Database'!M:M)</f>
        <v>79500</v>
      </c>
    </row>
    <row r="17" spans="2:4" ht="21.95" customHeight="1" x14ac:dyDescent="0.25">
      <c r="B17" s="13" t="s">
        <v>287</v>
      </c>
      <c r="C17" s="30">
        <f>COUNTIF('Employee Database'!E:E,"Sales")</f>
        <v>5</v>
      </c>
      <c r="D17" s="28">
        <f>COUNTIF('Employee Database'!E:E,"Sales")</f>
        <v>5</v>
      </c>
    </row>
    <row r="18" spans="2:4" ht="21.95" customHeight="1" x14ac:dyDescent="0.25">
      <c r="B18" s="10" t="s">
        <v>288</v>
      </c>
      <c r="C18" s="29">
        <f>AVERAGEIF('Employee Database'!E:E,"Sales",'Employee Database'!M:M)</f>
        <v>65600</v>
      </c>
      <c r="D18" s="12">
        <f>AVERAGEIF('Employee Database'!E:E,"Sales",'Employee Database'!M:M)</f>
        <v>65600</v>
      </c>
    </row>
    <row r="19" spans="2:4" ht="21.95" customHeight="1" x14ac:dyDescent="0.25">
      <c r="B19" s="13" t="s">
        <v>289</v>
      </c>
      <c r="C19" s="30">
        <f>COUNTIF('Employee Database'!E:E,"Marketing")</f>
        <v>5</v>
      </c>
      <c r="D19" s="28">
        <f>COUNTIF('Employee Database'!E:E,"Marketing")</f>
        <v>5</v>
      </c>
    </row>
    <row r="20" spans="2:4" ht="21.95" customHeight="1" x14ac:dyDescent="0.25">
      <c r="B20" s="10" t="s">
        <v>290</v>
      </c>
      <c r="C20" s="29">
        <f>AVERAGEIF('Employee Database'!E:E,"Marketing",'Employee Database'!M:M)</f>
        <v>67800</v>
      </c>
      <c r="D20" s="12">
        <f>AVERAGEIF('Employee Database'!E:E,"Marketing",'Employee Database'!M:M)</f>
        <v>67800</v>
      </c>
    </row>
    <row r="21" spans="2:4" ht="21.95" customHeight="1" x14ac:dyDescent="0.25">
      <c r="B21" s="59" t="s">
        <v>291</v>
      </c>
      <c r="C21" s="51"/>
      <c r="D21" s="51"/>
    </row>
    <row r="22" spans="2:4" ht="21.95" customHeight="1" x14ac:dyDescent="0.25">
      <c r="B22" s="10" t="s">
        <v>292</v>
      </c>
      <c r="C22" s="29">
        <f>COUNTIF('Employee Database'!H:H,"Female")</f>
        <v>15</v>
      </c>
      <c r="D22" s="26">
        <f>COUNTIF('Employee Database'!H:H,"Female")</f>
        <v>15</v>
      </c>
    </row>
    <row r="23" spans="2:4" ht="21.95" customHeight="1" x14ac:dyDescent="0.25">
      <c r="B23" s="13" t="s">
        <v>293</v>
      </c>
      <c r="C23" s="30">
        <f>AVERAGEIF('Employee Database'!H:H,"Male",'Employee Database'!M:M)</f>
        <v>81133.333333333328</v>
      </c>
      <c r="D23" s="15">
        <f>AVERAGEIF('Employee Database'!H:H,"Male",'Employee Database'!M:M)</f>
        <v>81133.333333333328</v>
      </c>
    </row>
    <row r="24" spans="2:4" ht="21.95" customHeight="1" x14ac:dyDescent="0.25">
      <c r="B24" s="10" t="s">
        <v>294</v>
      </c>
      <c r="C24" s="29">
        <f>AVERAGEIF('Employee Database'!H:H,"Female",'Employee Database'!M:M)</f>
        <v>68066.666666666672</v>
      </c>
      <c r="D24" s="12">
        <f>AVERAGEIF('Employee Database'!H:H,"Female",'Employee Database'!M:M)</f>
        <v>68066.666666666672</v>
      </c>
    </row>
    <row r="25" spans="2:4" ht="21.95" customHeight="1" x14ac:dyDescent="0.25">
      <c r="B25" s="58" t="s">
        <v>295</v>
      </c>
      <c r="C25" s="51"/>
      <c r="D25" s="51"/>
    </row>
    <row r="26" spans="2:4" ht="21.95" customHeight="1" x14ac:dyDescent="0.25">
      <c r="B26" s="10" t="s">
        <v>296</v>
      </c>
      <c r="C26" s="29">
        <f>COUNTIF('Employee Database'!S:S,"Excellent")</f>
        <v>6</v>
      </c>
      <c r="D26" s="26">
        <f>COUNTIF('Employee Database'!S:S,"Excellent")</f>
        <v>6</v>
      </c>
    </row>
    <row r="27" spans="2:4" ht="21.95" customHeight="1" x14ac:dyDescent="0.25">
      <c r="B27" s="13" t="s">
        <v>297</v>
      </c>
      <c r="C27" s="30">
        <f>COUNTIF('Employee Database'!S:S,"Good")</f>
        <v>10</v>
      </c>
      <c r="D27" s="28">
        <f>COUNTIF('Employee Database'!S:S,"Good")</f>
        <v>10</v>
      </c>
    </row>
    <row r="28" spans="2:4" ht="21.95" customHeight="1" x14ac:dyDescent="0.25">
      <c r="B28" s="10" t="s">
        <v>298</v>
      </c>
      <c r="C28" s="29">
        <f>COUNTIF('Employee Database'!S:S,"Average")</f>
        <v>6</v>
      </c>
      <c r="D28" s="26">
        <f>COUNTIF('Employee Database'!S:S,"Average")</f>
        <v>6</v>
      </c>
    </row>
    <row r="29" spans="2:4" ht="21.95" customHeight="1" x14ac:dyDescent="0.25">
      <c r="B29" s="13" t="s">
        <v>299</v>
      </c>
      <c r="C29" s="30">
        <f>AVERAGE('Employee Database'!U3:U32)</f>
        <v>5217.6000000000004</v>
      </c>
      <c r="D29" s="15">
        <f>AVERAGE('Employee Database'!U3:U32)</f>
        <v>5217.6000000000004</v>
      </c>
    </row>
    <row r="30" spans="2:4" ht="21.95" customHeight="1" x14ac:dyDescent="0.25">
      <c r="B30" s="10" t="s">
        <v>300</v>
      </c>
      <c r="C30" s="29">
        <f>SUM('Employee Database'!U3:U32)</f>
        <v>156528</v>
      </c>
      <c r="D30" s="12">
        <f>SUM('Employee Database'!U3:U32)</f>
        <v>156528</v>
      </c>
    </row>
  </sheetData>
  <mergeCells count="6">
    <mergeCell ref="B11:D11"/>
    <mergeCell ref="B3:D3"/>
    <mergeCell ref="B1:D1"/>
    <mergeCell ref="B21:D21"/>
    <mergeCell ref="B25:D25"/>
    <mergeCell ref="B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Employee Database</vt:lpstr>
      <vt:lpstr>Sheet1</vt:lpstr>
      <vt:lpstr>Sheet2</vt:lpstr>
      <vt:lpstr>Formula Dashboard</vt:lpstr>
      <vt:lpstr>VLOOKUP Tool</vt:lpstr>
      <vt:lpstr>TEXT Formulas</vt:lpstr>
      <vt:lpstr>Summary 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2026-04-10T12:11:03Z</dcterms:created>
  <dcterms:modified xsi:type="dcterms:W3CDTF">2026-04-28T13:14:45Z</dcterms:modified>
</cp:coreProperties>
</file>